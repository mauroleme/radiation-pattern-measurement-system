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6-07-2025\"/>
    </mc:Choice>
  </mc:AlternateContent>
  <xr:revisionPtr revIDLastSave="0" documentId="13_ncr:1_{36CD7A96-4BC9-4494-9EE4-6371EA356B2C}" xr6:coauthVersionLast="47" xr6:coauthVersionMax="47" xr10:uidLastSave="{00000000-0000-0000-0000-000000000000}"/>
  <bookViews>
    <workbookView xWindow="-108" yWindow="-108" windowWidth="23256" windowHeight="12456" xr2:uid="{1ECF37D5-4A0E-407A-B1A8-81C9D96AE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6" i="1"/>
  <c r="K5" i="1"/>
  <c r="I13" i="1"/>
  <c r="I8" i="1"/>
  <c r="I6" i="1"/>
  <c r="I7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E7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F5" i="1"/>
  <c r="G5" i="1"/>
  <c r="H5" i="1"/>
  <c r="I5" i="1"/>
  <c r="J5" i="1"/>
  <c r="E5" i="1"/>
</calcChain>
</file>

<file path=xl/sharedStrings.xml><?xml version="1.0" encoding="utf-8"?>
<sst xmlns="http://schemas.openxmlformats.org/spreadsheetml/2006/main" count="6" uniqueCount="5">
  <si>
    <t>theta degree</t>
  </si>
  <si>
    <t>AVERAGE</t>
  </si>
  <si>
    <t>ordem</t>
  </si>
  <si>
    <t>MEASUREMENT - WITH 868 MHz FILTER AND BALUN</t>
  </si>
  <si>
    <t>in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</si>
</sst>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E86C-2A3C-4DA5-A2FF-BF6E3AB6F082}">
  <dimension ref="B2:AE79"/>
  <sheetViews>
    <sheetView tabSelected="1" topLeftCell="H1" workbookViewId="0">
      <selection activeCell="Q6" sqref="Q6"/>
    </sheetView>
  </sheetViews>
  <sheetFormatPr defaultRowHeight="14.4" x14ac:dyDescent="0.3"/>
  <cols>
    <col min="1" max="1" width="3.5546875" style="2" customWidth="1"/>
    <col min="2" max="2" width="8.21875" style="2" bestFit="1" customWidth="1"/>
    <col min="3" max="3" width="3.21875" style="2" customWidth="1"/>
    <col min="4" max="4" width="11.77734375" style="2" customWidth="1"/>
    <col min="5" max="5" width="9.5546875" style="2" customWidth="1"/>
    <col min="6" max="14" width="8.88671875" style="2"/>
    <col min="15" max="15" width="5" style="2" customWidth="1"/>
    <col min="16" max="16" width="8.88671875" style="2"/>
    <col min="17" max="17" width="8.88671875" style="4"/>
    <col min="18" max="18" width="3.77734375" style="2" customWidth="1"/>
    <col min="19" max="19" width="11" style="9" bestFit="1" customWidth="1"/>
    <col min="20" max="20" width="9.88671875" style="2" customWidth="1"/>
    <col min="21" max="21" width="8.21875" style="2" bestFit="1" customWidth="1"/>
    <col min="22" max="16384" width="8.88671875" style="2"/>
  </cols>
  <sheetData>
    <row r="2" spans="2:31" ht="28.8" x14ac:dyDescent="0.3">
      <c r="B2" s="1"/>
      <c r="E2" s="8" t="s">
        <v>3</v>
      </c>
      <c r="F2" s="8"/>
      <c r="G2" s="8"/>
      <c r="H2" s="8"/>
      <c r="I2" s="8"/>
      <c r="J2" s="8"/>
      <c r="K2" s="8"/>
      <c r="L2" s="8"/>
      <c r="M2" s="8"/>
      <c r="N2" s="8"/>
      <c r="Q2" s="6"/>
      <c r="R2" s="7"/>
      <c r="T2" s="7"/>
      <c r="U2" s="7"/>
    </row>
    <row r="3" spans="2:31" ht="28.8" x14ac:dyDescent="0.3">
      <c r="B3" s="1"/>
      <c r="E3" s="8" t="s">
        <v>4</v>
      </c>
      <c r="F3" s="8"/>
      <c r="G3" s="8"/>
      <c r="H3" s="8"/>
      <c r="I3" s="8"/>
      <c r="J3" s="8"/>
      <c r="K3" s="8"/>
      <c r="L3" s="8"/>
      <c r="M3" s="8"/>
      <c r="N3" s="8"/>
      <c r="Q3" s="6"/>
      <c r="R3" s="7"/>
      <c r="T3" s="7"/>
      <c r="U3" s="7"/>
    </row>
    <row r="4" spans="2:31" x14ac:dyDescent="0.3">
      <c r="B4" s="2">
        <v>1E-4</v>
      </c>
      <c r="D4" s="3" t="s">
        <v>0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P4" s="3" t="s">
        <v>1</v>
      </c>
      <c r="Q4" s="6"/>
      <c r="R4" s="7"/>
      <c r="S4" s="9" t="s">
        <v>0</v>
      </c>
      <c r="T4" s="7"/>
      <c r="U4" s="9" t="s">
        <v>2</v>
      </c>
      <c r="V4" s="9">
        <v>1</v>
      </c>
      <c r="W4" s="9">
        <v>2</v>
      </c>
      <c r="X4" s="9">
        <v>3</v>
      </c>
      <c r="Y4" s="9">
        <v>4</v>
      </c>
      <c r="Z4" s="9">
        <v>5</v>
      </c>
      <c r="AA4" s="9">
        <v>6</v>
      </c>
      <c r="AB4" s="9">
        <v>7</v>
      </c>
      <c r="AC4" s="9">
        <v>8</v>
      </c>
      <c r="AD4" s="9">
        <v>9</v>
      </c>
      <c r="AE4" s="9">
        <v>10</v>
      </c>
    </row>
    <row r="5" spans="2:31" x14ac:dyDescent="0.3">
      <c r="D5" s="2">
        <v>-180</v>
      </c>
      <c r="E5" s="4">
        <f>V5*$B$4</f>
        <v>-19.1921</v>
      </c>
      <c r="F5" s="4">
        <f>W5*$B$4</f>
        <v>-18.863</v>
      </c>
      <c r="G5" s="4">
        <f>X5*$B$4</f>
        <v>-19.110500000000002</v>
      </c>
      <c r="H5" s="4">
        <f>Y5*$B$4</f>
        <v>-18.871100000000002</v>
      </c>
      <c r="I5" s="4">
        <f>Z5*$B$4</f>
        <v>-19.145800000000001</v>
      </c>
      <c r="J5" s="4">
        <f>AA5*$B$4</f>
        <v>-18.6479</v>
      </c>
      <c r="K5" s="4">
        <f>AB5*$B$4</f>
        <v>-18.699200000000001</v>
      </c>
      <c r="L5" s="4">
        <f>AC5*$B$4</f>
        <v>-17.849800000000002</v>
      </c>
      <c r="M5" s="4"/>
      <c r="N5" s="4"/>
      <c r="P5" s="4">
        <f>AVERAGE(E5:L5)</f>
        <v>-18.797424999999997</v>
      </c>
      <c r="Q5" s="2"/>
      <c r="R5" s="7"/>
      <c r="S5" s="10">
        <v>0</v>
      </c>
      <c r="T5" s="5">
        <v>-364390</v>
      </c>
      <c r="U5" s="2">
        <v>1</v>
      </c>
      <c r="V5" s="11">
        <v>-191921</v>
      </c>
      <c r="W5" s="11">
        <v>-188630</v>
      </c>
      <c r="X5" s="11">
        <v>-191105</v>
      </c>
      <c r="Y5" s="11">
        <v>-188711</v>
      </c>
      <c r="Z5" s="11">
        <v>-191458</v>
      </c>
      <c r="AA5" s="11">
        <v>-186479</v>
      </c>
      <c r="AB5" s="11">
        <v>-186992</v>
      </c>
      <c r="AC5" s="11">
        <v>-178498</v>
      </c>
    </row>
    <row r="6" spans="2:31" x14ac:dyDescent="0.3">
      <c r="D6" s="2">
        <v>-175</v>
      </c>
      <c r="E6" s="4">
        <f t="shared" ref="E6:E69" si="0">V6*$B$4</f>
        <v>-19.959400000000002</v>
      </c>
      <c r="F6" s="4">
        <f t="shared" ref="F6:F69" si="1">W6*$B$4</f>
        <v>-19.211100000000002</v>
      </c>
      <c r="G6" s="4">
        <f t="shared" ref="G6:G69" si="2">X6*$B$4</f>
        <v>-19.404600000000002</v>
      </c>
      <c r="H6" s="4">
        <f t="shared" ref="H6:H69" si="3">Y6*$B$4</f>
        <v>-19.200400000000002</v>
      </c>
      <c r="I6" s="4">
        <f t="shared" ref="I6:I69" si="4">Z6*$B$4</f>
        <v>-19.546200000000002</v>
      </c>
      <c r="J6" s="4">
        <f t="shared" ref="J6:J69" si="5">AA6*$B$4</f>
        <v>-19.000900000000001</v>
      </c>
      <c r="K6" s="4">
        <f>AB6*$B$4</f>
        <v>-19.069500000000001</v>
      </c>
      <c r="L6" s="4">
        <f t="shared" ref="L6:L69" si="6">AC6*$B$4</f>
        <v>-18.0593</v>
      </c>
      <c r="M6" s="4"/>
      <c r="N6" s="4"/>
      <c r="P6" s="4">
        <f t="shared" ref="P6:P69" si="7">AVERAGE(E6:L6)</f>
        <v>-19.181425000000001</v>
      </c>
      <c r="Q6" s="2"/>
      <c r="R6" s="7"/>
      <c r="S6" s="10">
        <v>5</v>
      </c>
      <c r="T6" s="5">
        <v>-372458</v>
      </c>
      <c r="U6" s="2">
        <v>2</v>
      </c>
      <c r="V6" s="11">
        <v>-199594</v>
      </c>
      <c r="W6" s="11">
        <v>-192111</v>
      </c>
      <c r="X6" s="11">
        <v>-194046</v>
      </c>
      <c r="Y6" s="11">
        <v>-192004</v>
      </c>
      <c r="Z6" s="11">
        <v>-195462</v>
      </c>
      <c r="AA6" s="11">
        <v>-190009</v>
      </c>
      <c r="AB6" s="11">
        <v>-190695</v>
      </c>
      <c r="AC6" s="11">
        <v>-180593</v>
      </c>
    </row>
    <row r="7" spans="2:31" x14ac:dyDescent="0.3">
      <c r="D7" s="2">
        <v>-170</v>
      </c>
      <c r="E7" s="4">
        <f>V7*$B$4</f>
        <v>-20.531500000000001</v>
      </c>
      <c r="F7" s="4">
        <f t="shared" si="1"/>
        <v>-19.662400000000002</v>
      </c>
      <c r="G7" s="4">
        <f t="shared" si="2"/>
        <v>-19.724700000000002</v>
      </c>
      <c r="H7" s="4">
        <f t="shared" si="3"/>
        <v>-19.731200000000001</v>
      </c>
      <c r="I7" s="4">
        <f t="shared" si="4"/>
        <v>-19.8033</v>
      </c>
      <c r="J7" s="4">
        <f t="shared" si="5"/>
        <v>-19.236499999999999</v>
      </c>
      <c r="K7" s="4">
        <f t="shared" ref="K7:K70" si="8">AB7*$B$4</f>
        <v>-19.328500000000002</v>
      </c>
      <c r="L7" s="4">
        <f t="shared" si="6"/>
        <v>-18.070399999999999</v>
      </c>
      <c r="M7" s="4"/>
      <c r="N7" s="4"/>
      <c r="P7" s="4">
        <f t="shared" si="7"/>
        <v>-19.511062500000001</v>
      </c>
      <c r="Q7" s="2"/>
      <c r="R7" s="7"/>
      <c r="S7" s="10">
        <v>10</v>
      </c>
      <c r="T7" s="5">
        <v>-382983</v>
      </c>
      <c r="U7" s="2">
        <v>3</v>
      </c>
      <c r="V7" s="11">
        <v>-205315</v>
      </c>
      <c r="W7" s="11">
        <v>-196624</v>
      </c>
      <c r="X7" s="11">
        <v>-197247</v>
      </c>
      <c r="Y7" s="11">
        <v>-197312</v>
      </c>
      <c r="Z7" s="11">
        <v>-198033</v>
      </c>
      <c r="AA7" s="11">
        <v>-192365</v>
      </c>
      <c r="AB7" s="11">
        <v>-193285</v>
      </c>
      <c r="AC7" s="11">
        <v>-180704</v>
      </c>
    </row>
    <row r="8" spans="2:31" x14ac:dyDescent="0.3">
      <c r="D8" s="2">
        <v>-165</v>
      </c>
      <c r="E8" s="4">
        <f t="shared" si="0"/>
        <v>-21.872700000000002</v>
      </c>
      <c r="F8" s="4">
        <f t="shared" si="1"/>
        <v>-20.3611</v>
      </c>
      <c r="G8" s="4">
        <f t="shared" si="2"/>
        <v>-20.7346</v>
      </c>
      <c r="H8" s="4">
        <f t="shared" si="3"/>
        <v>-20.439800000000002</v>
      </c>
      <c r="I8" s="4">
        <f>Z8*$B$4</f>
        <v>-20.744400000000002</v>
      </c>
      <c r="J8" s="4">
        <f t="shared" si="5"/>
        <v>-20.224399999999999</v>
      </c>
      <c r="K8" s="4">
        <f t="shared" si="8"/>
        <v>-20.415900000000001</v>
      </c>
      <c r="L8" s="4">
        <f t="shared" si="6"/>
        <v>-18.888500000000001</v>
      </c>
      <c r="M8" s="4"/>
      <c r="N8" s="4"/>
      <c r="P8" s="4">
        <f t="shared" si="7"/>
        <v>-20.460175</v>
      </c>
      <c r="Q8" s="2"/>
      <c r="R8" s="7"/>
      <c r="S8" s="10">
        <v>15</v>
      </c>
      <c r="T8" s="5">
        <v>-390253</v>
      </c>
      <c r="U8" s="2">
        <v>4</v>
      </c>
      <c r="V8" s="11">
        <v>-218727</v>
      </c>
      <c r="W8" s="11">
        <v>-203611</v>
      </c>
      <c r="X8" s="11">
        <v>-207346</v>
      </c>
      <c r="Y8" s="11">
        <v>-204398</v>
      </c>
      <c r="Z8" s="11">
        <v>-207444</v>
      </c>
      <c r="AA8" s="11">
        <v>-202244</v>
      </c>
      <c r="AB8" s="11">
        <v>-204159</v>
      </c>
      <c r="AC8" s="11">
        <v>-188885</v>
      </c>
    </row>
    <row r="9" spans="2:31" x14ac:dyDescent="0.3">
      <c r="D9" s="2">
        <v>-160</v>
      </c>
      <c r="E9" s="4">
        <f t="shared" si="0"/>
        <v>-23.546300000000002</v>
      </c>
      <c r="F9" s="4">
        <f t="shared" si="1"/>
        <v>-21.718500000000002</v>
      </c>
      <c r="G9" s="4">
        <f t="shared" si="2"/>
        <v>-21.973300000000002</v>
      </c>
      <c r="H9" s="4">
        <f t="shared" si="3"/>
        <v>-21.815900000000003</v>
      </c>
      <c r="I9" s="4">
        <f t="shared" si="4"/>
        <v>-22.117900000000002</v>
      </c>
      <c r="J9" s="4">
        <f t="shared" si="5"/>
        <v>-21.5748</v>
      </c>
      <c r="K9" s="4">
        <f t="shared" si="8"/>
        <v>-21.7515</v>
      </c>
      <c r="L9" s="4">
        <f t="shared" si="6"/>
        <v>-20.058199999999999</v>
      </c>
      <c r="M9" s="4"/>
      <c r="N9" s="4"/>
      <c r="P9" s="4">
        <f t="shared" si="7"/>
        <v>-21.81955</v>
      </c>
      <c r="Q9" s="2"/>
      <c r="R9" s="7"/>
      <c r="S9" s="10">
        <v>20</v>
      </c>
      <c r="T9" s="5">
        <v>-395395</v>
      </c>
      <c r="U9" s="2">
        <v>5</v>
      </c>
      <c r="V9" s="11">
        <v>-235463</v>
      </c>
      <c r="W9" s="11">
        <v>-217185</v>
      </c>
      <c r="X9" s="11">
        <v>-219733</v>
      </c>
      <c r="Y9" s="11">
        <v>-218159</v>
      </c>
      <c r="Z9" s="11">
        <v>-221179</v>
      </c>
      <c r="AA9" s="11">
        <v>-215748</v>
      </c>
      <c r="AB9" s="11">
        <v>-217515</v>
      </c>
      <c r="AC9" s="11">
        <v>-200582</v>
      </c>
    </row>
    <row r="10" spans="2:31" x14ac:dyDescent="0.3">
      <c r="D10" s="2">
        <v>-155</v>
      </c>
      <c r="E10" s="4">
        <f t="shared" si="0"/>
        <v>-25.764700000000001</v>
      </c>
      <c r="F10" s="4">
        <f t="shared" si="1"/>
        <v>-23.450300000000002</v>
      </c>
      <c r="G10" s="4">
        <f t="shared" si="2"/>
        <v>-23.664899999999999</v>
      </c>
      <c r="H10" s="4">
        <f t="shared" si="3"/>
        <v>-23.558500000000002</v>
      </c>
      <c r="I10" s="4">
        <f t="shared" si="4"/>
        <v>-23.730700000000002</v>
      </c>
      <c r="J10" s="4">
        <f t="shared" si="5"/>
        <v>-23.415200000000002</v>
      </c>
      <c r="K10" s="4">
        <f t="shared" si="8"/>
        <v>-23.458400000000001</v>
      </c>
      <c r="L10" s="4">
        <f t="shared" si="6"/>
        <v>-21.756500000000003</v>
      </c>
      <c r="M10" s="4"/>
      <c r="N10" s="4"/>
      <c r="P10" s="4">
        <f t="shared" si="7"/>
        <v>-23.599900000000005</v>
      </c>
      <c r="Q10" s="2"/>
      <c r="R10" s="7"/>
      <c r="S10" s="10">
        <v>25</v>
      </c>
      <c r="T10" s="5">
        <v>-405585</v>
      </c>
      <c r="U10" s="2">
        <v>6</v>
      </c>
      <c r="V10" s="11">
        <v>-257647</v>
      </c>
      <c r="W10" s="11">
        <v>-234503</v>
      </c>
      <c r="X10" s="11">
        <v>-236649</v>
      </c>
      <c r="Y10" s="11">
        <v>-235585</v>
      </c>
      <c r="Z10" s="11">
        <v>-237307</v>
      </c>
      <c r="AA10" s="11">
        <v>-234152</v>
      </c>
      <c r="AB10" s="11">
        <v>-234584</v>
      </c>
      <c r="AC10" s="11">
        <v>-217565</v>
      </c>
    </row>
    <row r="11" spans="2:31" x14ac:dyDescent="0.3">
      <c r="D11" s="2">
        <v>-150</v>
      </c>
      <c r="E11" s="4">
        <f t="shared" si="0"/>
        <v>-28.37</v>
      </c>
      <c r="F11" s="4">
        <f t="shared" si="1"/>
        <v>-25.585800000000003</v>
      </c>
      <c r="G11" s="4">
        <f t="shared" si="2"/>
        <v>-25.754300000000001</v>
      </c>
      <c r="H11" s="4">
        <f t="shared" si="3"/>
        <v>-25.590800000000002</v>
      </c>
      <c r="I11" s="4">
        <f t="shared" si="4"/>
        <v>-25.7651</v>
      </c>
      <c r="J11" s="4">
        <f t="shared" si="5"/>
        <v>-25.586000000000002</v>
      </c>
      <c r="K11" s="4">
        <f t="shared" si="8"/>
        <v>-25.5777</v>
      </c>
      <c r="L11" s="4">
        <f t="shared" si="6"/>
        <v>-23.938400000000001</v>
      </c>
      <c r="M11" s="4"/>
      <c r="N11" s="4"/>
      <c r="P11" s="4">
        <f t="shared" si="7"/>
        <v>-25.771012500000001</v>
      </c>
      <c r="Q11" s="2"/>
      <c r="R11" s="7"/>
      <c r="S11" s="10">
        <v>30</v>
      </c>
      <c r="T11" s="5">
        <v>-419373</v>
      </c>
      <c r="U11" s="2">
        <v>7</v>
      </c>
      <c r="V11" s="11">
        <v>-283700</v>
      </c>
      <c r="W11" s="11">
        <v>-255858</v>
      </c>
      <c r="X11" s="11">
        <v>-257543</v>
      </c>
      <c r="Y11" s="11">
        <v>-255908</v>
      </c>
      <c r="Z11" s="11">
        <v>-257651</v>
      </c>
      <c r="AA11" s="11">
        <v>-255860</v>
      </c>
      <c r="AB11" s="11">
        <v>-255777</v>
      </c>
      <c r="AC11" s="11">
        <v>-239384</v>
      </c>
    </row>
    <row r="12" spans="2:31" x14ac:dyDescent="0.3">
      <c r="D12" s="2">
        <v>-145</v>
      </c>
      <c r="E12" s="4">
        <f t="shared" si="0"/>
        <v>-31.444200000000002</v>
      </c>
      <c r="F12" s="4">
        <f t="shared" si="1"/>
        <v>-28.057100000000002</v>
      </c>
      <c r="G12" s="4">
        <f t="shared" si="2"/>
        <v>-28.269000000000002</v>
      </c>
      <c r="H12" s="4">
        <f t="shared" si="3"/>
        <v>-28.0715</v>
      </c>
      <c r="I12" s="4">
        <f t="shared" si="4"/>
        <v>-28.2256</v>
      </c>
      <c r="J12" s="4">
        <f t="shared" si="5"/>
        <v>-28.4526</v>
      </c>
      <c r="K12" s="4">
        <f t="shared" si="8"/>
        <v>-28.2774</v>
      </c>
      <c r="L12" s="4">
        <f t="shared" si="6"/>
        <v>-26.669</v>
      </c>
      <c r="M12" s="4"/>
      <c r="N12" s="4"/>
      <c r="P12" s="4">
        <f t="shared" si="7"/>
        <v>-28.433300000000003</v>
      </c>
      <c r="Q12" s="2"/>
      <c r="R12" s="7"/>
      <c r="S12" s="10">
        <v>35</v>
      </c>
      <c r="T12" s="5">
        <v>-438526</v>
      </c>
      <c r="U12" s="2">
        <v>8</v>
      </c>
      <c r="V12" s="11">
        <v>-314442</v>
      </c>
      <c r="W12" s="11">
        <v>-280571</v>
      </c>
      <c r="X12" s="11">
        <v>-282690</v>
      </c>
      <c r="Y12" s="11">
        <v>-280715</v>
      </c>
      <c r="Z12" s="11">
        <v>-282256</v>
      </c>
      <c r="AA12" s="11">
        <v>-284526</v>
      </c>
      <c r="AB12" s="11">
        <v>-282774</v>
      </c>
      <c r="AC12" s="11">
        <v>-266690</v>
      </c>
    </row>
    <row r="13" spans="2:31" x14ac:dyDescent="0.3">
      <c r="D13" s="2">
        <v>-140</v>
      </c>
      <c r="E13" s="4">
        <f t="shared" si="0"/>
        <v>-35.131100000000004</v>
      </c>
      <c r="F13" s="4">
        <f t="shared" si="1"/>
        <v>-30.9664</v>
      </c>
      <c r="G13" s="4">
        <f t="shared" si="2"/>
        <v>-31.251000000000001</v>
      </c>
      <c r="H13" s="4">
        <f t="shared" si="3"/>
        <v>-31.015400000000003</v>
      </c>
      <c r="I13" s="4">
        <f>Z13*$B$4</f>
        <v>-31.067900000000002</v>
      </c>
      <c r="J13" s="4">
        <f t="shared" si="5"/>
        <v>-31.813400000000001</v>
      </c>
      <c r="K13" s="4">
        <f t="shared" si="8"/>
        <v>-31.464100000000002</v>
      </c>
      <c r="L13" s="4">
        <f t="shared" si="6"/>
        <v>-30.320300000000003</v>
      </c>
      <c r="M13" s="4"/>
      <c r="N13" s="4"/>
      <c r="P13" s="4">
        <f t="shared" si="7"/>
        <v>-31.628700000000002</v>
      </c>
      <c r="Q13" s="2"/>
      <c r="R13" s="7"/>
      <c r="S13" s="10">
        <v>40</v>
      </c>
      <c r="T13" s="5">
        <v>-464457</v>
      </c>
      <c r="U13" s="2">
        <v>9</v>
      </c>
      <c r="V13" s="11">
        <v>-351311</v>
      </c>
      <c r="W13" s="11">
        <v>-309664</v>
      </c>
      <c r="X13" s="11">
        <v>-312510</v>
      </c>
      <c r="Y13" s="11">
        <v>-310154</v>
      </c>
      <c r="Z13" s="11">
        <v>-310679</v>
      </c>
      <c r="AA13" s="11">
        <v>-318134</v>
      </c>
      <c r="AB13" s="11">
        <v>-314641</v>
      </c>
      <c r="AC13" s="11">
        <v>-303203</v>
      </c>
    </row>
    <row r="14" spans="2:31" x14ac:dyDescent="0.3">
      <c r="D14" s="2">
        <v>-135</v>
      </c>
      <c r="E14" s="4">
        <f t="shared" si="0"/>
        <v>-39.455300000000001</v>
      </c>
      <c r="F14" s="4">
        <f t="shared" si="1"/>
        <v>-34.530900000000003</v>
      </c>
      <c r="G14" s="4">
        <f t="shared" si="2"/>
        <v>-34.777500000000003</v>
      </c>
      <c r="H14" s="4">
        <f t="shared" si="3"/>
        <v>-34.238599999999998</v>
      </c>
      <c r="I14" s="4">
        <f t="shared" si="4"/>
        <v>-34.371700000000004</v>
      </c>
      <c r="J14" s="4">
        <f t="shared" si="5"/>
        <v>-36.029900000000005</v>
      </c>
      <c r="K14" s="4">
        <f t="shared" si="8"/>
        <v>-35.126600000000003</v>
      </c>
      <c r="L14" s="4">
        <f t="shared" si="6"/>
        <v>-35.370899999999999</v>
      </c>
      <c r="M14" s="4"/>
      <c r="N14" s="4"/>
      <c r="P14" s="4">
        <f t="shared" si="7"/>
        <v>-35.487674999999996</v>
      </c>
      <c r="Q14" s="2"/>
      <c r="R14" s="7"/>
      <c r="S14" s="10">
        <v>45</v>
      </c>
      <c r="T14" s="5">
        <v>-480862</v>
      </c>
      <c r="U14" s="2">
        <v>10</v>
      </c>
      <c r="V14" s="11">
        <v>-394553</v>
      </c>
      <c r="W14" s="11">
        <v>-345309</v>
      </c>
      <c r="X14" s="11">
        <v>-347775</v>
      </c>
      <c r="Y14" s="11">
        <v>-342386</v>
      </c>
      <c r="Z14" s="11">
        <v>-343717</v>
      </c>
      <c r="AA14" s="11">
        <v>-360299</v>
      </c>
      <c r="AB14" s="11">
        <v>-351266</v>
      </c>
      <c r="AC14" s="11">
        <v>-353709</v>
      </c>
    </row>
    <row r="15" spans="2:31" x14ac:dyDescent="0.3">
      <c r="D15" s="2">
        <v>-130</v>
      </c>
      <c r="E15" s="4">
        <f t="shared" si="0"/>
        <v>-43.997900000000001</v>
      </c>
      <c r="F15" s="4">
        <f t="shared" si="1"/>
        <v>-38.356900000000003</v>
      </c>
      <c r="G15" s="4">
        <f t="shared" si="2"/>
        <v>-38.626200000000004</v>
      </c>
      <c r="H15" s="4">
        <f t="shared" si="3"/>
        <v>-37.794800000000002</v>
      </c>
      <c r="I15" s="4">
        <f t="shared" si="4"/>
        <v>-38.044499999999999</v>
      </c>
      <c r="J15" s="4">
        <f t="shared" si="5"/>
        <v>-40.824300000000001</v>
      </c>
      <c r="K15" s="4">
        <f t="shared" si="8"/>
        <v>-39.389099999999999</v>
      </c>
      <c r="L15" s="4">
        <f t="shared" si="6"/>
        <v>-43.829900000000002</v>
      </c>
      <c r="M15" s="4"/>
      <c r="N15" s="4"/>
      <c r="P15" s="4">
        <f t="shared" si="7"/>
        <v>-40.107950000000002</v>
      </c>
      <c r="Q15" s="2"/>
      <c r="R15" s="7"/>
      <c r="S15" s="10">
        <v>50</v>
      </c>
      <c r="T15" s="5">
        <v>-490288</v>
      </c>
      <c r="U15" s="2">
        <v>11</v>
      </c>
      <c r="V15" s="11">
        <v>-439979</v>
      </c>
      <c r="W15" s="11">
        <v>-383569</v>
      </c>
      <c r="X15" s="11">
        <v>-386262</v>
      </c>
      <c r="Y15" s="11">
        <v>-377948</v>
      </c>
      <c r="Z15" s="11">
        <v>-380445</v>
      </c>
      <c r="AA15" s="11">
        <v>-408243</v>
      </c>
      <c r="AB15" s="11">
        <v>-393891</v>
      </c>
      <c r="AC15" s="11">
        <v>-438299</v>
      </c>
    </row>
    <row r="16" spans="2:31" x14ac:dyDescent="0.3">
      <c r="D16" s="2">
        <v>-125</v>
      </c>
      <c r="E16" s="4">
        <f t="shared" si="0"/>
        <v>-47.084500000000006</v>
      </c>
      <c r="F16" s="4">
        <f t="shared" si="1"/>
        <v>-42.179400000000001</v>
      </c>
      <c r="G16" s="4">
        <f t="shared" si="2"/>
        <v>-42.411900000000003</v>
      </c>
      <c r="H16" s="4">
        <f t="shared" si="3"/>
        <v>-41.2258</v>
      </c>
      <c r="I16" s="4">
        <f t="shared" si="4"/>
        <v>-41.580400000000004</v>
      </c>
      <c r="J16" s="4">
        <f t="shared" si="5"/>
        <v>-46.3658</v>
      </c>
      <c r="K16" s="4">
        <f t="shared" si="8"/>
        <v>-43.548000000000002</v>
      </c>
      <c r="L16" s="4">
        <f t="shared" si="6"/>
        <v>-61.017800000000001</v>
      </c>
      <c r="M16" s="4"/>
      <c r="N16" s="4"/>
      <c r="P16" s="4">
        <f t="shared" si="7"/>
        <v>-45.676700000000004</v>
      </c>
      <c r="Q16" s="2"/>
      <c r="R16" s="7"/>
      <c r="S16" s="10">
        <v>55</v>
      </c>
      <c r="T16" s="5">
        <v>-473146</v>
      </c>
      <c r="U16" s="2">
        <v>12</v>
      </c>
      <c r="V16" s="11">
        <v>-470845</v>
      </c>
      <c r="W16" s="11">
        <v>-421794</v>
      </c>
      <c r="X16" s="11">
        <v>-424119</v>
      </c>
      <c r="Y16" s="11">
        <v>-412258</v>
      </c>
      <c r="Z16" s="11">
        <v>-415804</v>
      </c>
      <c r="AA16" s="11">
        <v>-463658</v>
      </c>
      <c r="AB16" s="11">
        <v>-435480</v>
      </c>
      <c r="AC16" s="11">
        <v>-610178</v>
      </c>
    </row>
    <row r="17" spans="4:29" x14ac:dyDescent="0.3">
      <c r="D17" s="2">
        <v>-120</v>
      </c>
      <c r="E17" s="4">
        <f t="shared" si="0"/>
        <v>-47.302400000000006</v>
      </c>
      <c r="F17" s="4">
        <f t="shared" si="1"/>
        <v>-44.421300000000002</v>
      </c>
      <c r="G17" s="4">
        <f t="shared" si="2"/>
        <v>-44.546500000000002</v>
      </c>
      <c r="H17" s="4">
        <f t="shared" si="3"/>
        <v>-43.299700000000001</v>
      </c>
      <c r="I17" s="4">
        <f t="shared" si="4"/>
        <v>-43.846000000000004</v>
      </c>
      <c r="J17" s="4">
        <f t="shared" si="5"/>
        <v>-49.085100000000004</v>
      </c>
      <c r="K17" s="4">
        <f t="shared" si="8"/>
        <v>-45.662700000000001</v>
      </c>
      <c r="L17" s="4">
        <f t="shared" si="6"/>
        <v>-46.388500000000001</v>
      </c>
      <c r="M17" s="4"/>
      <c r="N17" s="4"/>
      <c r="P17" s="4">
        <f t="shared" si="7"/>
        <v>-45.569025000000011</v>
      </c>
      <c r="Q17" s="2"/>
      <c r="R17" s="7"/>
      <c r="S17" s="10">
        <v>60</v>
      </c>
      <c r="T17" s="5">
        <v>-452004</v>
      </c>
      <c r="U17" s="2">
        <v>13</v>
      </c>
      <c r="V17" s="11">
        <v>-473024</v>
      </c>
      <c r="W17" s="11">
        <v>-444213</v>
      </c>
      <c r="X17" s="11">
        <v>-445465</v>
      </c>
      <c r="Y17" s="11">
        <v>-432997</v>
      </c>
      <c r="Z17" s="11">
        <v>-438460</v>
      </c>
      <c r="AA17" s="11">
        <v>-490851</v>
      </c>
      <c r="AB17" s="11">
        <v>-456627</v>
      </c>
      <c r="AC17" s="11">
        <v>-463885</v>
      </c>
    </row>
    <row r="18" spans="4:29" x14ac:dyDescent="0.3">
      <c r="D18" s="2">
        <v>-115</v>
      </c>
      <c r="E18" s="4">
        <f t="shared" si="0"/>
        <v>-46.411300000000004</v>
      </c>
      <c r="F18" s="4">
        <f t="shared" si="1"/>
        <v>-44.439700000000002</v>
      </c>
      <c r="G18" s="4">
        <f t="shared" si="2"/>
        <v>-44.627000000000002</v>
      </c>
      <c r="H18" s="4">
        <f t="shared" si="3"/>
        <v>-43.915600000000005</v>
      </c>
      <c r="I18" s="4">
        <f t="shared" si="4"/>
        <v>-44.241199999999999</v>
      </c>
      <c r="J18" s="4">
        <f t="shared" si="5"/>
        <v>-49.163000000000004</v>
      </c>
      <c r="K18" s="4">
        <f t="shared" si="8"/>
        <v>-45.371500000000005</v>
      </c>
      <c r="L18" s="4">
        <f t="shared" si="6"/>
        <v>-43.303400000000003</v>
      </c>
      <c r="M18" s="4"/>
      <c r="N18" s="4"/>
      <c r="P18" s="4">
        <f t="shared" si="7"/>
        <v>-45.184087500000004</v>
      </c>
      <c r="Q18" s="2"/>
      <c r="R18" s="7"/>
      <c r="S18" s="10">
        <v>65</v>
      </c>
      <c r="T18" s="5">
        <v>-425431</v>
      </c>
      <c r="U18" s="2">
        <v>14</v>
      </c>
      <c r="V18" s="11">
        <v>-464113</v>
      </c>
      <c r="W18" s="11">
        <v>-444397</v>
      </c>
      <c r="X18" s="11">
        <v>-446270</v>
      </c>
      <c r="Y18" s="11">
        <v>-439156</v>
      </c>
      <c r="Z18" s="11">
        <v>-442412</v>
      </c>
      <c r="AA18" s="11">
        <v>-491630</v>
      </c>
      <c r="AB18" s="11">
        <v>-453715</v>
      </c>
      <c r="AC18" s="11">
        <v>-433034</v>
      </c>
    </row>
    <row r="19" spans="4:29" x14ac:dyDescent="0.3">
      <c r="D19" s="2">
        <v>-110</v>
      </c>
      <c r="E19" s="4">
        <f t="shared" si="0"/>
        <v>-45.525800000000004</v>
      </c>
      <c r="F19" s="4">
        <f t="shared" si="1"/>
        <v>-43.889900000000004</v>
      </c>
      <c r="G19" s="4">
        <f t="shared" si="2"/>
        <v>-44.014200000000002</v>
      </c>
      <c r="H19" s="4">
        <f t="shared" si="3"/>
        <v>-43.570900000000002</v>
      </c>
      <c r="I19" s="4">
        <f t="shared" si="4"/>
        <v>-44.006599999999999</v>
      </c>
      <c r="J19" s="4">
        <f t="shared" si="5"/>
        <v>-48.208100000000002</v>
      </c>
      <c r="K19" s="4">
        <f t="shared" si="8"/>
        <v>-44.355800000000002</v>
      </c>
      <c r="L19" s="4">
        <f t="shared" si="6"/>
        <v>-42.813300000000005</v>
      </c>
      <c r="M19" s="4"/>
      <c r="N19" s="4"/>
      <c r="P19" s="4">
        <f t="shared" si="7"/>
        <v>-44.548075000000004</v>
      </c>
      <c r="Q19" s="2"/>
      <c r="R19" s="7"/>
      <c r="S19" s="10">
        <v>70</v>
      </c>
      <c r="T19" s="5">
        <v>-413230</v>
      </c>
      <c r="U19" s="2">
        <v>15</v>
      </c>
      <c r="V19" s="11">
        <v>-455258</v>
      </c>
      <c r="W19" s="11">
        <v>-438899</v>
      </c>
      <c r="X19" s="11">
        <v>-440142</v>
      </c>
      <c r="Y19" s="11">
        <v>-435709</v>
      </c>
      <c r="Z19" s="11">
        <v>-440066</v>
      </c>
      <c r="AA19" s="11">
        <v>-482081</v>
      </c>
      <c r="AB19" s="11">
        <v>-443558</v>
      </c>
      <c r="AC19" s="11">
        <v>-428133</v>
      </c>
    </row>
    <row r="20" spans="4:29" x14ac:dyDescent="0.3">
      <c r="D20" s="2">
        <v>-105</v>
      </c>
      <c r="E20" s="4">
        <f t="shared" si="0"/>
        <v>-45.633400000000002</v>
      </c>
      <c r="F20" s="4">
        <f t="shared" si="1"/>
        <v>-43.719799999999999</v>
      </c>
      <c r="G20" s="4">
        <f t="shared" si="2"/>
        <v>-43.7271</v>
      </c>
      <c r="H20" s="4">
        <f t="shared" si="3"/>
        <v>-43.369500000000002</v>
      </c>
      <c r="I20" s="4">
        <f t="shared" si="4"/>
        <v>-44.002500000000005</v>
      </c>
      <c r="J20" s="4">
        <f t="shared" si="5"/>
        <v>-47.5869</v>
      </c>
      <c r="K20" s="4">
        <f t="shared" si="8"/>
        <v>-44.108600000000003</v>
      </c>
      <c r="L20" s="4">
        <f t="shared" si="6"/>
        <v>-43.192800000000005</v>
      </c>
      <c r="M20" s="4"/>
      <c r="N20" s="4"/>
      <c r="P20" s="4">
        <f t="shared" si="7"/>
        <v>-44.417574999999999</v>
      </c>
      <c r="Q20" s="2"/>
      <c r="R20" s="7"/>
      <c r="S20" s="10">
        <v>75</v>
      </c>
      <c r="T20" s="5">
        <v>-412020</v>
      </c>
      <c r="U20" s="2">
        <v>16</v>
      </c>
      <c r="V20" s="11">
        <v>-456334</v>
      </c>
      <c r="W20" s="11">
        <v>-437198</v>
      </c>
      <c r="X20" s="11">
        <v>-437271</v>
      </c>
      <c r="Y20" s="11">
        <v>-433695</v>
      </c>
      <c r="Z20" s="11">
        <v>-440025</v>
      </c>
      <c r="AA20" s="11">
        <v>-475869</v>
      </c>
      <c r="AB20" s="11">
        <v>-441086</v>
      </c>
      <c r="AC20" s="11">
        <v>-431928</v>
      </c>
    </row>
    <row r="21" spans="4:29" x14ac:dyDescent="0.3">
      <c r="D21" s="2">
        <v>-100</v>
      </c>
      <c r="E21" s="4">
        <f t="shared" si="0"/>
        <v>-46.6372</v>
      </c>
      <c r="F21" s="4">
        <f t="shared" si="1"/>
        <v>-44.174300000000002</v>
      </c>
      <c r="G21" s="4">
        <f t="shared" si="2"/>
        <v>-44.1282</v>
      </c>
      <c r="H21" s="4">
        <f t="shared" si="3"/>
        <v>-43.913900000000005</v>
      </c>
      <c r="I21" s="4">
        <f t="shared" si="4"/>
        <v>-44.795000000000002</v>
      </c>
      <c r="J21" s="4">
        <f t="shared" si="5"/>
        <v>-47.493700000000004</v>
      </c>
      <c r="K21" s="4">
        <f t="shared" si="8"/>
        <v>-44.3889</v>
      </c>
      <c r="L21" s="4">
        <f t="shared" si="6"/>
        <v>-42.807600000000001</v>
      </c>
      <c r="M21" s="4"/>
      <c r="N21" s="4"/>
      <c r="P21" s="4">
        <f t="shared" si="7"/>
        <v>-44.792349999999992</v>
      </c>
      <c r="Q21" s="2"/>
      <c r="R21" s="7"/>
      <c r="S21" s="10">
        <v>80</v>
      </c>
      <c r="T21" s="5">
        <v>-416618</v>
      </c>
      <c r="U21" s="2">
        <v>17</v>
      </c>
      <c r="V21" s="11">
        <v>-466372</v>
      </c>
      <c r="W21" s="11">
        <v>-441743</v>
      </c>
      <c r="X21" s="11">
        <v>-441282</v>
      </c>
      <c r="Y21" s="11">
        <v>-439139</v>
      </c>
      <c r="Z21" s="11">
        <v>-447950</v>
      </c>
      <c r="AA21" s="11">
        <v>-474937</v>
      </c>
      <c r="AB21" s="11">
        <v>-443889</v>
      </c>
      <c r="AC21" s="11">
        <v>-428076</v>
      </c>
    </row>
    <row r="22" spans="4:29" x14ac:dyDescent="0.3">
      <c r="D22" s="2">
        <v>-95</v>
      </c>
      <c r="E22" s="4">
        <f t="shared" si="0"/>
        <v>-48.412700000000001</v>
      </c>
      <c r="F22" s="4">
        <f t="shared" si="1"/>
        <v>-45.330500000000001</v>
      </c>
      <c r="G22" s="4">
        <f t="shared" si="2"/>
        <v>-45.488500000000002</v>
      </c>
      <c r="H22" s="4">
        <f t="shared" si="3"/>
        <v>-45.182300000000005</v>
      </c>
      <c r="I22" s="4">
        <f t="shared" si="4"/>
        <v>-46.020900000000005</v>
      </c>
      <c r="J22" s="4">
        <f t="shared" si="5"/>
        <v>-47.923700000000004</v>
      </c>
      <c r="K22" s="4">
        <f t="shared" si="8"/>
        <v>-45.566700000000004</v>
      </c>
      <c r="L22" s="4">
        <f t="shared" si="6"/>
        <v>-41.854800000000004</v>
      </c>
      <c r="M22" s="4"/>
      <c r="N22" s="4"/>
      <c r="P22" s="4">
        <f t="shared" si="7"/>
        <v>-45.722512500000008</v>
      </c>
      <c r="Q22" s="2"/>
      <c r="R22" s="7"/>
      <c r="S22" s="10">
        <v>85</v>
      </c>
      <c r="T22" s="5">
        <v>-437361</v>
      </c>
      <c r="U22" s="2">
        <v>18</v>
      </c>
      <c r="V22" s="11">
        <v>-484127</v>
      </c>
      <c r="W22" s="11">
        <v>-453305</v>
      </c>
      <c r="X22" s="11">
        <v>-454885</v>
      </c>
      <c r="Y22" s="11">
        <v>-451823</v>
      </c>
      <c r="Z22" s="11">
        <v>-460209</v>
      </c>
      <c r="AA22" s="11">
        <v>-479237</v>
      </c>
      <c r="AB22" s="11">
        <v>-455667</v>
      </c>
      <c r="AC22" s="11">
        <v>-418548</v>
      </c>
    </row>
    <row r="23" spans="4:29" x14ac:dyDescent="0.3">
      <c r="D23" s="2">
        <v>-90</v>
      </c>
      <c r="E23" s="4">
        <f t="shared" si="0"/>
        <v>-49.727900000000005</v>
      </c>
      <c r="F23" s="4">
        <f t="shared" si="1"/>
        <v>-47.2059</v>
      </c>
      <c r="G23" s="4">
        <f t="shared" si="2"/>
        <v>-47.212500000000006</v>
      </c>
      <c r="H23" s="4">
        <f t="shared" si="3"/>
        <v>-47.182000000000002</v>
      </c>
      <c r="I23" s="4">
        <f t="shared" si="4"/>
        <v>-48.349499999999999</v>
      </c>
      <c r="J23" s="4">
        <f t="shared" si="5"/>
        <v>-48.968800000000002</v>
      </c>
      <c r="K23" s="4">
        <f t="shared" si="8"/>
        <v>-47.1873</v>
      </c>
      <c r="L23" s="4">
        <f t="shared" si="6"/>
        <v>-40.636000000000003</v>
      </c>
      <c r="M23" s="4"/>
      <c r="N23" s="4"/>
      <c r="P23" s="4">
        <f t="shared" si="7"/>
        <v>-47.058737500000007</v>
      </c>
      <c r="Q23" s="2"/>
      <c r="R23" s="7"/>
      <c r="S23" s="10">
        <v>90</v>
      </c>
      <c r="T23" s="5">
        <v>-463092</v>
      </c>
      <c r="U23" s="2">
        <v>19</v>
      </c>
      <c r="V23" s="11">
        <v>-497279</v>
      </c>
      <c r="W23" s="11">
        <v>-472059</v>
      </c>
      <c r="X23" s="11">
        <v>-472125</v>
      </c>
      <c r="Y23" s="11">
        <v>-471820</v>
      </c>
      <c r="Z23" s="11">
        <v>-483495</v>
      </c>
      <c r="AA23" s="11">
        <v>-489688</v>
      </c>
      <c r="AB23" s="11">
        <v>-471873</v>
      </c>
      <c r="AC23" s="11">
        <v>-406360</v>
      </c>
    </row>
    <row r="24" spans="4:29" x14ac:dyDescent="0.3">
      <c r="D24" s="2">
        <v>-85</v>
      </c>
      <c r="E24" s="4">
        <f t="shared" si="0"/>
        <v>-48.967500000000001</v>
      </c>
      <c r="F24" s="4">
        <f t="shared" si="1"/>
        <v>-48.692800000000005</v>
      </c>
      <c r="G24" s="4">
        <f t="shared" si="2"/>
        <v>-48.660600000000002</v>
      </c>
      <c r="H24" s="4">
        <f t="shared" si="3"/>
        <v>-49.984999999999999</v>
      </c>
      <c r="I24" s="4">
        <f t="shared" si="4"/>
        <v>-50.459099999999999</v>
      </c>
      <c r="J24" s="4">
        <f t="shared" si="5"/>
        <v>-51.203300000000006</v>
      </c>
      <c r="K24" s="4">
        <f t="shared" si="8"/>
        <v>-48.2393</v>
      </c>
      <c r="L24" s="4">
        <f t="shared" si="6"/>
        <v>-40.093000000000004</v>
      </c>
      <c r="M24" s="4"/>
      <c r="N24" s="4"/>
      <c r="P24" s="4">
        <f t="shared" si="7"/>
        <v>-48.287575000000004</v>
      </c>
      <c r="Q24" s="2"/>
      <c r="R24" s="7"/>
      <c r="S24" s="10">
        <v>95</v>
      </c>
      <c r="T24" s="5">
        <v>-486006</v>
      </c>
      <c r="U24" s="2">
        <v>20</v>
      </c>
      <c r="V24" s="11">
        <v>-489675</v>
      </c>
      <c r="W24" s="11">
        <v>-486928</v>
      </c>
      <c r="X24" s="11">
        <v>-486606</v>
      </c>
      <c r="Y24" s="11">
        <v>-499850</v>
      </c>
      <c r="Z24" s="11">
        <v>-504591</v>
      </c>
      <c r="AA24" s="11">
        <v>-512033</v>
      </c>
      <c r="AB24" s="11">
        <v>-482393</v>
      </c>
      <c r="AC24" s="11">
        <v>-400930</v>
      </c>
    </row>
    <row r="25" spans="4:29" x14ac:dyDescent="0.3">
      <c r="D25" s="2">
        <v>-80</v>
      </c>
      <c r="E25" s="4">
        <f t="shared" si="0"/>
        <v>-47.225700000000003</v>
      </c>
      <c r="F25" s="4">
        <f t="shared" si="1"/>
        <v>-48.625100000000003</v>
      </c>
      <c r="G25" s="4">
        <f t="shared" si="2"/>
        <v>-48.446200000000005</v>
      </c>
      <c r="H25" s="4">
        <f t="shared" si="3"/>
        <v>-49.889600000000002</v>
      </c>
      <c r="I25" s="4">
        <f t="shared" si="4"/>
        <v>-50.709600000000002</v>
      </c>
      <c r="J25" s="4">
        <f t="shared" si="5"/>
        <v>-50.788400000000003</v>
      </c>
      <c r="K25" s="4">
        <f t="shared" si="8"/>
        <v>-47.588799999999999</v>
      </c>
      <c r="L25" s="4">
        <f t="shared" si="6"/>
        <v>-40.144800000000004</v>
      </c>
      <c r="M25" s="4"/>
      <c r="N25" s="4"/>
      <c r="P25" s="4">
        <f t="shared" si="7"/>
        <v>-47.927275000000009</v>
      </c>
      <c r="Q25" s="2"/>
      <c r="R25" s="7"/>
      <c r="S25" s="10">
        <v>100</v>
      </c>
      <c r="T25" s="5">
        <v>-490737</v>
      </c>
      <c r="U25" s="2">
        <v>21</v>
      </c>
      <c r="V25" s="11">
        <v>-472257</v>
      </c>
      <c r="W25" s="11">
        <v>-486251</v>
      </c>
      <c r="X25" s="11">
        <v>-484462</v>
      </c>
      <c r="Y25" s="11">
        <v>-498896</v>
      </c>
      <c r="Z25" s="11">
        <v>-507096</v>
      </c>
      <c r="AA25" s="11">
        <v>-507884</v>
      </c>
      <c r="AB25" s="11">
        <v>-475888</v>
      </c>
      <c r="AC25" s="11">
        <v>-401448</v>
      </c>
    </row>
    <row r="26" spans="4:29" x14ac:dyDescent="0.3">
      <c r="D26" s="2">
        <v>-75</v>
      </c>
      <c r="E26" s="4">
        <f t="shared" si="0"/>
        <v>-46.066900000000004</v>
      </c>
      <c r="F26" s="4">
        <f t="shared" si="1"/>
        <v>-47.513500000000001</v>
      </c>
      <c r="G26" s="4">
        <f t="shared" si="2"/>
        <v>-47.373000000000005</v>
      </c>
      <c r="H26" s="4">
        <f t="shared" si="3"/>
        <v>-49.382899999999999</v>
      </c>
      <c r="I26" s="4">
        <f t="shared" si="4"/>
        <v>-49.908999999999999</v>
      </c>
      <c r="J26" s="4">
        <f t="shared" si="5"/>
        <v>-48.0229</v>
      </c>
      <c r="K26" s="4">
        <f t="shared" si="8"/>
        <v>-46.267400000000002</v>
      </c>
      <c r="L26" s="4">
        <f t="shared" si="6"/>
        <v>-40.316300000000005</v>
      </c>
      <c r="M26" s="4"/>
      <c r="N26" s="4"/>
      <c r="P26" s="4">
        <f t="shared" si="7"/>
        <v>-46.8564875</v>
      </c>
      <c r="Q26" s="2"/>
      <c r="R26" s="7"/>
      <c r="S26" s="10">
        <v>105</v>
      </c>
      <c r="T26" s="5">
        <v>-476738</v>
      </c>
      <c r="U26" s="2">
        <v>22</v>
      </c>
      <c r="V26" s="11">
        <v>-460669</v>
      </c>
      <c r="W26" s="11">
        <v>-475135</v>
      </c>
      <c r="X26" s="11">
        <v>-473730</v>
      </c>
      <c r="Y26" s="11">
        <v>-493829</v>
      </c>
      <c r="Z26" s="11">
        <v>-499090</v>
      </c>
      <c r="AA26" s="11">
        <v>-480229</v>
      </c>
      <c r="AB26" s="11">
        <v>-462674</v>
      </c>
      <c r="AC26" s="11">
        <v>-403163</v>
      </c>
    </row>
    <row r="27" spans="4:29" x14ac:dyDescent="0.3">
      <c r="D27" s="2">
        <v>-70</v>
      </c>
      <c r="E27" s="4">
        <f t="shared" si="0"/>
        <v>-45.562000000000005</v>
      </c>
      <c r="F27" s="4">
        <f t="shared" si="1"/>
        <v>-46.7515</v>
      </c>
      <c r="G27" s="4">
        <f t="shared" si="2"/>
        <v>-46.496700000000004</v>
      </c>
      <c r="H27" s="4">
        <f t="shared" si="3"/>
        <v>-49.159500000000001</v>
      </c>
      <c r="I27" s="4">
        <f t="shared" si="4"/>
        <v>-49.976100000000002</v>
      </c>
      <c r="J27" s="4">
        <f t="shared" si="5"/>
        <v>-45.632400000000004</v>
      </c>
      <c r="K27" s="4">
        <f t="shared" si="8"/>
        <v>-45.298400000000001</v>
      </c>
      <c r="L27" s="4">
        <f t="shared" si="6"/>
        <v>-41.048700000000004</v>
      </c>
      <c r="M27" s="4"/>
      <c r="N27" s="4"/>
      <c r="P27" s="4">
        <f t="shared" si="7"/>
        <v>-46.240662500000006</v>
      </c>
      <c r="Q27" s="2"/>
      <c r="R27" s="7"/>
      <c r="S27" s="10">
        <v>110</v>
      </c>
      <c r="T27" s="5">
        <v>-458368</v>
      </c>
      <c r="U27" s="2">
        <v>23</v>
      </c>
      <c r="V27" s="11">
        <v>-455620</v>
      </c>
      <c r="W27" s="11">
        <v>-467515</v>
      </c>
      <c r="X27" s="11">
        <v>-464967</v>
      </c>
      <c r="Y27" s="11">
        <v>-491595</v>
      </c>
      <c r="Z27" s="11">
        <v>-499761</v>
      </c>
      <c r="AA27" s="11">
        <v>-456324</v>
      </c>
      <c r="AB27" s="11">
        <v>-452984</v>
      </c>
      <c r="AC27" s="11">
        <v>-410487</v>
      </c>
    </row>
    <row r="28" spans="4:29" x14ac:dyDescent="0.3">
      <c r="D28" s="2">
        <v>-65</v>
      </c>
      <c r="E28" s="4">
        <f t="shared" si="0"/>
        <v>-45.710500000000003</v>
      </c>
      <c r="F28" s="4">
        <f t="shared" si="1"/>
        <v>-46.370899999999999</v>
      </c>
      <c r="G28" s="4">
        <f t="shared" si="2"/>
        <v>-46.101900000000001</v>
      </c>
      <c r="H28" s="4">
        <f t="shared" si="3"/>
        <v>-50.599900000000005</v>
      </c>
      <c r="I28" s="4">
        <f t="shared" si="4"/>
        <v>-50.741400000000006</v>
      </c>
      <c r="J28" s="4">
        <f t="shared" si="5"/>
        <v>-43.011900000000004</v>
      </c>
      <c r="K28" s="4">
        <f t="shared" si="8"/>
        <v>-45.005800000000001</v>
      </c>
      <c r="L28" s="4">
        <f t="shared" si="6"/>
        <v>-42.173700000000004</v>
      </c>
      <c r="M28" s="4"/>
      <c r="N28" s="4"/>
      <c r="P28" s="4">
        <f t="shared" si="7"/>
        <v>-46.214500000000008</v>
      </c>
      <c r="Q28" s="2"/>
      <c r="R28" s="7"/>
      <c r="S28" s="10">
        <v>115</v>
      </c>
      <c r="T28" s="5">
        <v>-450948</v>
      </c>
      <c r="U28" s="2">
        <v>24</v>
      </c>
      <c r="V28" s="11">
        <v>-457105</v>
      </c>
      <c r="W28" s="11">
        <v>-463709</v>
      </c>
      <c r="X28" s="11">
        <v>-461019</v>
      </c>
      <c r="Y28" s="11">
        <v>-505999</v>
      </c>
      <c r="Z28" s="11">
        <v>-507414</v>
      </c>
      <c r="AA28" s="11">
        <v>-430119</v>
      </c>
      <c r="AB28" s="11">
        <v>-450058</v>
      </c>
      <c r="AC28" s="11">
        <v>-421737</v>
      </c>
    </row>
    <row r="29" spans="4:29" x14ac:dyDescent="0.3">
      <c r="D29" s="2">
        <v>-60</v>
      </c>
      <c r="E29" s="4">
        <f t="shared" si="0"/>
        <v>-46.585799999999999</v>
      </c>
      <c r="F29" s="4">
        <f t="shared" si="1"/>
        <v>-46.515300000000003</v>
      </c>
      <c r="G29" s="4">
        <f t="shared" si="2"/>
        <v>-46.269500000000001</v>
      </c>
      <c r="H29" s="4">
        <f t="shared" si="3"/>
        <v>-53.263200000000005</v>
      </c>
      <c r="I29" s="4">
        <f t="shared" si="4"/>
        <v>-51.256</v>
      </c>
      <c r="J29" s="4">
        <f t="shared" si="5"/>
        <v>-42.495100000000001</v>
      </c>
      <c r="K29" s="4">
        <f t="shared" si="8"/>
        <v>-45.388000000000005</v>
      </c>
      <c r="L29" s="4">
        <f t="shared" si="6"/>
        <v>-43.515799999999999</v>
      </c>
      <c r="M29" s="4"/>
      <c r="N29" s="4"/>
      <c r="P29" s="4">
        <f t="shared" si="7"/>
        <v>-46.911087500000008</v>
      </c>
      <c r="Q29" s="2"/>
      <c r="R29" s="7"/>
      <c r="S29" s="10">
        <v>120</v>
      </c>
      <c r="T29" s="5">
        <v>-435542</v>
      </c>
      <c r="U29" s="2">
        <v>25</v>
      </c>
      <c r="V29" s="11">
        <v>-465858</v>
      </c>
      <c r="W29" s="11">
        <v>-465153</v>
      </c>
      <c r="X29" s="11">
        <v>-462695</v>
      </c>
      <c r="Y29" s="11">
        <v>-532632</v>
      </c>
      <c r="Z29" s="11">
        <v>-512560</v>
      </c>
      <c r="AA29" s="11">
        <v>-424951</v>
      </c>
      <c r="AB29" s="11">
        <v>-453880</v>
      </c>
      <c r="AC29" s="11">
        <v>-435158</v>
      </c>
    </row>
    <row r="30" spans="4:29" x14ac:dyDescent="0.3">
      <c r="D30" s="2">
        <v>-55</v>
      </c>
      <c r="E30" s="4">
        <f t="shared" si="0"/>
        <v>-48.782400000000003</v>
      </c>
      <c r="F30" s="4">
        <f t="shared" si="1"/>
        <v>-47.250500000000002</v>
      </c>
      <c r="G30" s="4">
        <f t="shared" si="2"/>
        <v>-47.057500000000005</v>
      </c>
      <c r="H30" s="4">
        <f t="shared" si="3"/>
        <v>-56.987000000000002</v>
      </c>
      <c r="I30" s="4">
        <f t="shared" si="4"/>
        <v>-51.541000000000004</v>
      </c>
      <c r="J30" s="4">
        <f t="shared" si="5"/>
        <v>-41.479300000000002</v>
      </c>
      <c r="K30" s="4">
        <f t="shared" si="8"/>
        <v>-46.351700000000001</v>
      </c>
      <c r="L30" s="4">
        <f t="shared" si="6"/>
        <v>-44.545100000000005</v>
      </c>
      <c r="M30" s="4"/>
      <c r="N30" s="4"/>
      <c r="P30" s="4">
        <f t="shared" si="7"/>
        <v>-47.999312500000002</v>
      </c>
      <c r="Q30" s="2"/>
      <c r="R30" s="7"/>
      <c r="S30" s="10">
        <v>125</v>
      </c>
      <c r="T30" s="5">
        <v>-393872</v>
      </c>
      <c r="U30" s="2">
        <v>26</v>
      </c>
      <c r="V30" s="11">
        <v>-487824</v>
      </c>
      <c r="W30" s="11">
        <v>-472505</v>
      </c>
      <c r="X30" s="11">
        <v>-470575</v>
      </c>
      <c r="Y30" s="11">
        <v>-569870</v>
      </c>
      <c r="Z30" s="11">
        <v>-515410</v>
      </c>
      <c r="AA30" s="11">
        <v>-414793</v>
      </c>
      <c r="AB30" s="11">
        <v>-463517</v>
      </c>
      <c r="AC30" s="11">
        <v>-445451</v>
      </c>
    </row>
    <row r="31" spans="4:29" x14ac:dyDescent="0.3">
      <c r="D31" s="2">
        <v>-50</v>
      </c>
      <c r="E31" s="4">
        <f t="shared" si="0"/>
        <v>-51.597500000000004</v>
      </c>
      <c r="F31" s="4">
        <f t="shared" si="1"/>
        <v>-48.646000000000001</v>
      </c>
      <c r="G31" s="4">
        <f t="shared" si="2"/>
        <v>-48.109700000000004</v>
      </c>
      <c r="H31" s="4">
        <f t="shared" si="3"/>
        <v>-61.578400000000002</v>
      </c>
      <c r="I31" s="4">
        <f t="shared" si="4"/>
        <v>-50.8628</v>
      </c>
      <c r="J31" s="4">
        <f t="shared" si="5"/>
        <v>-43.152799999999999</v>
      </c>
      <c r="K31" s="4">
        <f t="shared" si="8"/>
        <v>-48.0413</v>
      </c>
      <c r="L31" s="4">
        <f t="shared" si="6"/>
        <v>-44.911100000000005</v>
      </c>
      <c r="M31" s="4"/>
      <c r="N31" s="4"/>
      <c r="P31" s="4">
        <f t="shared" si="7"/>
        <v>-49.612449999999995</v>
      </c>
      <c r="Q31" s="2"/>
      <c r="R31" s="7"/>
      <c r="S31" s="10">
        <v>130</v>
      </c>
      <c r="T31" s="5">
        <v>-348312</v>
      </c>
      <c r="U31" s="2">
        <v>27</v>
      </c>
      <c r="V31" s="11">
        <v>-515975</v>
      </c>
      <c r="W31" s="11">
        <v>-486460</v>
      </c>
      <c r="X31" s="11">
        <v>-481097</v>
      </c>
      <c r="Y31" s="11">
        <v>-615784</v>
      </c>
      <c r="Z31" s="11">
        <v>-508628</v>
      </c>
      <c r="AA31" s="11">
        <v>-431528</v>
      </c>
      <c r="AB31" s="11">
        <v>-480413</v>
      </c>
      <c r="AC31" s="11">
        <v>-449111</v>
      </c>
    </row>
    <row r="32" spans="4:29" x14ac:dyDescent="0.3">
      <c r="D32" s="2">
        <v>-45</v>
      </c>
      <c r="E32" s="4">
        <f t="shared" si="0"/>
        <v>-55.001600000000003</v>
      </c>
      <c r="F32" s="4">
        <f t="shared" si="1"/>
        <v>-51.037400000000005</v>
      </c>
      <c r="G32" s="4">
        <f t="shared" si="2"/>
        <v>-50.2898</v>
      </c>
      <c r="H32" s="4">
        <f t="shared" si="3"/>
        <v>-60.8461</v>
      </c>
      <c r="I32" s="4">
        <f t="shared" si="4"/>
        <v>-55.403700000000001</v>
      </c>
      <c r="J32" s="4">
        <f t="shared" si="5"/>
        <v>-43.923500000000004</v>
      </c>
      <c r="K32" s="4">
        <f t="shared" si="8"/>
        <v>-50.479900000000001</v>
      </c>
      <c r="L32" s="4">
        <f t="shared" si="6"/>
        <v>-44.615100000000005</v>
      </c>
      <c r="M32" s="4"/>
      <c r="N32" s="4"/>
      <c r="P32" s="4">
        <f t="shared" si="7"/>
        <v>-51.449637499999994</v>
      </c>
      <c r="Q32" s="2"/>
      <c r="R32" s="7"/>
      <c r="S32" s="10">
        <v>135</v>
      </c>
      <c r="T32" s="5">
        <v>-306649</v>
      </c>
      <c r="U32" s="2">
        <v>28</v>
      </c>
      <c r="V32" s="11">
        <v>-550016</v>
      </c>
      <c r="W32" s="11">
        <v>-510374</v>
      </c>
      <c r="X32" s="11">
        <v>-502898</v>
      </c>
      <c r="Y32" s="11">
        <v>-608461</v>
      </c>
      <c r="Z32" s="11">
        <v>-554037</v>
      </c>
      <c r="AA32" s="11">
        <v>-439235</v>
      </c>
      <c r="AB32" s="11">
        <v>-504799</v>
      </c>
      <c r="AC32" s="11">
        <v>-446151</v>
      </c>
    </row>
    <row r="33" spans="4:29" x14ac:dyDescent="0.3">
      <c r="D33" s="2">
        <v>-40</v>
      </c>
      <c r="E33" s="4">
        <f t="shared" si="0"/>
        <v>-57.467400000000005</v>
      </c>
      <c r="F33" s="4">
        <f t="shared" si="1"/>
        <v>-55.359100000000005</v>
      </c>
      <c r="G33" s="4">
        <f t="shared" si="2"/>
        <v>-54.191400000000002</v>
      </c>
      <c r="H33" s="4">
        <f t="shared" si="3"/>
        <v>-57.5593</v>
      </c>
      <c r="I33" s="4">
        <f t="shared" si="4"/>
        <v>-54.0366</v>
      </c>
      <c r="J33" s="4">
        <f t="shared" si="5"/>
        <v>-45.016100000000002</v>
      </c>
      <c r="K33" s="4">
        <f t="shared" si="8"/>
        <v>-53.2498</v>
      </c>
      <c r="L33" s="4">
        <f t="shared" si="6"/>
        <v>-43.4086</v>
      </c>
      <c r="M33" s="4"/>
      <c r="N33" s="4"/>
      <c r="P33" s="4">
        <f t="shared" si="7"/>
        <v>-52.536037499999999</v>
      </c>
      <c r="Q33" s="2"/>
      <c r="R33" s="7"/>
      <c r="S33" s="10">
        <v>140</v>
      </c>
      <c r="T33" s="5">
        <v>-271789</v>
      </c>
      <c r="U33" s="2">
        <v>29</v>
      </c>
      <c r="V33" s="11">
        <v>-574674</v>
      </c>
      <c r="W33" s="11">
        <v>-553591</v>
      </c>
      <c r="X33" s="11">
        <v>-541914</v>
      </c>
      <c r="Y33" s="11">
        <v>-575593</v>
      </c>
      <c r="Z33" s="11">
        <v>-540366</v>
      </c>
      <c r="AA33" s="11">
        <v>-450161</v>
      </c>
      <c r="AB33" s="11">
        <v>-532498</v>
      </c>
      <c r="AC33" s="11">
        <v>-434086</v>
      </c>
    </row>
    <row r="34" spans="4:29" x14ac:dyDescent="0.3">
      <c r="D34" s="2">
        <v>-35</v>
      </c>
      <c r="E34" s="4">
        <f t="shared" si="0"/>
        <v>-54.504800000000003</v>
      </c>
      <c r="F34" s="4">
        <f t="shared" si="1"/>
        <v>-63.791000000000004</v>
      </c>
      <c r="G34" s="4">
        <f t="shared" si="2"/>
        <v>-60.789000000000001</v>
      </c>
      <c r="H34" s="4">
        <f t="shared" si="3"/>
        <v>-62.881100000000004</v>
      </c>
      <c r="I34" s="4">
        <f t="shared" si="4"/>
        <v>-53.885100000000001</v>
      </c>
      <c r="J34" s="4">
        <f t="shared" si="5"/>
        <v>-45.1693</v>
      </c>
      <c r="K34" s="4">
        <f t="shared" si="8"/>
        <v>-53.888100000000001</v>
      </c>
      <c r="L34" s="4">
        <f t="shared" si="6"/>
        <v>-43.1096</v>
      </c>
      <c r="M34" s="4"/>
      <c r="N34" s="4"/>
      <c r="P34" s="4">
        <f t="shared" si="7"/>
        <v>-54.752250000000011</v>
      </c>
      <c r="Q34" s="2"/>
      <c r="R34" s="7"/>
      <c r="S34" s="10">
        <v>145</v>
      </c>
      <c r="T34" s="5">
        <v>-246722</v>
      </c>
      <c r="U34" s="2">
        <v>30</v>
      </c>
      <c r="V34" s="11">
        <v>-545048</v>
      </c>
      <c r="W34" s="11">
        <v>-637910</v>
      </c>
      <c r="X34" s="11">
        <v>-607890</v>
      </c>
      <c r="Y34" s="11">
        <v>-628811</v>
      </c>
      <c r="Z34" s="11">
        <v>-538851</v>
      </c>
      <c r="AA34" s="11">
        <v>-451693</v>
      </c>
      <c r="AB34" s="11">
        <v>-538881</v>
      </c>
      <c r="AC34" s="11">
        <v>-431096</v>
      </c>
    </row>
    <row r="35" spans="4:29" x14ac:dyDescent="0.3">
      <c r="D35" s="2">
        <v>-30</v>
      </c>
      <c r="E35" s="4">
        <f t="shared" si="0"/>
        <v>-49.405300000000004</v>
      </c>
      <c r="F35" s="4">
        <f t="shared" si="1"/>
        <v>-64.004599999999996</v>
      </c>
      <c r="G35" s="4">
        <f t="shared" si="2"/>
        <v>-63.846300000000006</v>
      </c>
      <c r="H35" s="4">
        <f t="shared" si="3"/>
        <v>-54.811900000000001</v>
      </c>
      <c r="I35" s="4">
        <f t="shared" si="4"/>
        <v>-52.166700000000006</v>
      </c>
      <c r="J35" s="4">
        <f t="shared" si="5"/>
        <v>-43.691700000000004</v>
      </c>
      <c r="K35" s="4">
        <f t="shared" si="8"/>
        <v>-51.073900000000002</v>
      </c>
      <c r="L35" s="4">
        <f t="shared" si="6"/>
        <v>-41.900100000000002</v>
      </c>
      <c r="M35" s="4"/>
      <c r="N35" s="4"/>
      <c r="P35" s="4">
        <f t="shared" si="7"/>
        <v>-52.612562500000003</v>
      </c>
      <c r="Q35" s="2"/>
      <c r="R35" s="7"/>
      <c r="S35" s="10">
        <v>150</v>
      </c>
      <c r="T35" s="5">
        <v>-228364</v>
      </c>
      <c r="U35" s="2">
        <v>31</v>
      </c>
      <c r="V35" s="11">
        <v>-494053</v>
      </c>
      <c r="W35" s="11">
        <v>-640046</v>
      </c>
      <c r="X35" s="11">
        <v>-638463</v>
      </c>
      <c r="Y35" s="11">
        <v>-548119</v>
      </c>
      <c r="Z35" s="11">
        <v>-521667</v>
      </c>
      <c r="AA35" s="11">
        <v>-436917</v>
      </c>
      <c r="AB35" s="11">
        <v>-510739</v>
      </c>
      <c r="AC35" s="11">
        <v>-419001</v>
      </c>
    </row>
    <row r="36" spans="4:29" x14ac:dyDescent="0.3">
      <c r="D36" s="2">
        <v>-25</v>
      </c>
      <c r="E36" s="4">
        <f t="shared" si="0"/>
        <v>-45.813900000000004</v>
      </c>
      <c r="F36" s="4">
        <f t="shared" si="1"/>
        <v>-54.636900000000004</v>
      </c>
      <c r="G36" s="4">
        <f t="shared" si="2"/>
        <v>-54.920400000000001</v>
      </c>
      <c r="H36" s="4">
        <f t="shared" si="3"/>
        <v>-50.946800000000003</v>
      </c>
      <c r="I36" s="4">
        <f t="shared" si="4"/>
        <v>-49.2532</v>
      </c>
      <c r="J36" s="4">
        <f t="shared" si="5"/>
        <v>-43.142299999999999</v>
      </c>
      <c r="K36" s="4">
        <f t="shared" si="8"/>
        <v>-47.810400000000001</v>
      </c>
      <c r="L36" s="4">
        <f t="shared" si="6"/>
        <v>-40.662100000000002</v>
      </c>
      <c r="M36" s="4"/>
      <c r="N36" s="4"/>
      <c r="P36" s="4">
        <f t="shared" si="7"/>
        <v>-48.398250000000004</v>
      </c>
      <c r="Q36" s="2"/>
      <c r="R36" s="7"/>
      <c r="S36" s="10">
        <v>155</v>
      </c>
      <c r="T36" s="5">
        <v>-210755</v>
      </c>
      <c r="U36" s="2">
        <v>32</v>
      </c>
      <c r="V36" s="11">
        <v>-458139</v>
      </c>
      <c r="W36" s="11">
        <v>-546369</v>
      </c>
      <c r="X36" s="11">
        <v>-549204</v>
      </c>
      <c r="Y36" s="11">
        <v>-509468</v>
      </c>
      <c r="Z36" s="11">
        <v>-492532</v>
      </c>
      <c r="AA36" s="11">
        <v>-431423</v>
      </c>
      <c r="AB36" s="11">
        <v>-478104</v>
      </c>
      <c r="AC36" s="11">
        <v>-406621</v>
      </c>
    </row>
    <row r="37" spans="4:29" x14ac:dyDescent="0.3">
      <c r="D37" s="2">
        <v>-20</v>
      </c>
      <c r="E37" s="4">
        <f t="shared" si="0"/>
        <v>-43.457700000000003</v>
      </c>
      <c r="F37" s="4">
        <f t="shared" si="1"/>
        <v>-49.269200000000005</v>
      </c>
      <c r="G37" s="4">
        <f t="shared" si="2"/>
        <v>-49.8322</v>
      </c>
      <c r="H37" s="4">
        <f t="shared" si="3"/>
        <v>-47.2667</v>
      </c>
      <c r="I37" s="4">
        <f t="shared" si="4"/>
        <v>-45.520900000000005</v>
      </c>
      <c r="J37" s="4">
        <f t="shared" si="5"/>
        <v>-41.482600000000005</v>
      </c>
      <c r="K37" s="4">
        <f t="shared" si="8"/>
        <v>-45.113900000000001</v>
      </c>
      <c r="L37" s="4">
        <f t="shared" si="6"/>
        <v>-39.511400000000002</v>
      </c>
      <c r="M37" s="4"/>
      <c r="N37" s="4"/>
      <c r="P37" s="4">
        <f t="shared" si="7"/>
        <v>-45.181825000000003</v>
      </c>
      <c r="Q37" s="2"/>
      <c r="R37" s="7"/>
      <c r="S37" s="10">
        <v>160</v>
      </c>
      <c r="T37" s="5">
        <v>-199126</v>
      </c>
      <c r="U37" s="2">
        <v>33</v>
      </c>
      <c r="V37" s="11">
        <v>-434577</v>
      </c>
      <c r="W37" s="11">
        <v>-492692</v>
      </c>
      <c r="X37" s="11">
        <v>-498322</v>
      </c>
      <c r="Y37" s="11">
        <v>-472667</v>
      </c>
      <c r="Z37" s="11">
        <v>-455209</v>
      </c>
      <c r="AA37" s="11">
        <v>-414826</v>
      </c>
      <c r="AB37" s="11">
        <v>-451139</v>
      </c>
      <c r="AC37" s="11">
        <v>-395114</v>
      </c>
    </row>
    <row r="38" spans="4:29" x14ac:dyDescent="0.3">
      <c r="D38" s="2">
        <v>-15</v>
      </c>
      <c r="E38" s="4">
        <f t="shared" si="0"/>
        <v>-42.006100000000004</v>
      </c>
      <c r="F38" s="4">
        <f t="shared" si="1"/>
        <v>-46.063500000000005</v>
      </c>
      <c r="G38" s="4">
        <f t="shared" si="2"/>
        <v>-46.5929</v>
      </c>
      <c r="H38" s="4">
        <f t="shared" si="3"/>
        <v>-45.427</v>
      </c>
      <c r="I38" s="4">
        <f t="shared" si="4"/>
        <v>-43.635600000000004</v>
      </c>
      <c r="J38" s="4">
        <f t="shared" si="5"/>
        <v>-40.012799999999999</v>
      </c>
      <c r="K38" s="4">
        <f t="shared" si="8"/>
        <v>-42.984700000000004</v>
      </c>
      <c r="L38" s="4">
        <f t="shared" si="6"/>
        <v>-38.612900000000003</v>
      </c>
      <c r="M38" s="4"/>
      <c r="N38" s="4"/>
      <c r="P38" s="4">
        <f t="shared" si="7"/>
        <v>-43.16693750000001</v>
      </c>
      <c r="Q38" s="2"/>
      <c r="R38" s="7"/>
      <c r="S38" s="10">
        <v>165</v>
      </c>
      <c r="T38" s="5">
        <v>-190573</v>
      </c>
      <c r="U38" s="2">
        <v>34</v>
      </c>
      <c r="V38" s="11">
        <v>-420061</v>
      </c>
      <c r="W38" s="11">
        <v>-460635</v>
      </c>
      <c r="X38" s="11">
        <v>-465929</v>
      </c>
      <c r="Y38" s="11">
        <v>-454270</v>
      </c>
      <c r="Z38" s="11">
        <v>-436356</v>
      </c>
      <c r="AA38" s="11">
        <v>-400128</v>
      </c>
      <c r="AB38" s="11">
        <v>-429847</v>
      </c>
      <c r="AC38" s="11">
        <v>-386129</v>
      </c>
    </row>
    <row r="39" spans="4:29" x14ac:dyDescent="0.3">
      <c r="D39" s="2">
        <v>-10</v>
      </c>
      <c r="E39" s="4">
        <f t="shared" si="0"/>
        <v>-40.790400000000005</v>
      </c>
      <c r="F39" s="4">
        <f t="shared" si="1"/>
        <v>-43.873200000000004</v>
      </c>
      <c r="G39" s="4">
        <f t="shared" si="2"/>
        <v>-44.141500000000001</v>
      </c>
      <c r="H39" s="4">
        <f t="shared" si="3"/>
        <v>-43.639700000000005</v>
      </c>
      <c r="I39" s="4">
        <f t="shared" si="4"/>
        <v>-42.268900000000002</v>
      </c>
      <c r="J39" s="4">
        <f t="shared" si="5"/>
        <v>-38.721499999999999</v>
      </c>
      <c r="K39" s="4">
        <f t="shared" si="8"/>
        <v>-41.363900000000001</v>
      </c>
      <c r="L39" s="4">
        <f t="shared" si="6"/>
        <v>-37.605499999999999</v>
      </c>
      <c r="M39" s="4"/>
      <c r="N39" s="4"/>
      <c r="P39" s="4">
        <f t="shared" si="7"/>
        <v>-41.550575000000002</v>
      </c>
      <c r="Q39" s="2"/>
      <c r="R39" s="7"/>
      <c r="S39" s="10">
        <v>170</v>
      </c>
      <c r="T39" s="5">
        <v>-182096</v>
      </c>
      <c r="U39" s="2">
        <v>35</v>
      </c>
      <c r="V39" s="11">
        <v>-407904</v>
      </c>
      <c r="W39" s="11">
        <v>-438732</v>
      </c>
      <c r="X39" s="11">
        <v>-441415</v>
      </c>
      <c r="Y39" s="11">
        <v>-436397</v>
      </c>
      <c r="Z39" s="11">
        <v>-422689</v>
      </c>
      <c r="AA39" s="11">
        <v>-387215</v>
      </c>
      <c r="AB39" s="11">
        <v>-413639</v>
      </c>
      <c r="AC39" s="11">
        <v>-376055</v>
      </c>
    </row>
    <row r="40" spans="4:29" x14ac:dyDescent="0.3">
      <c r="D40" s="2">
        <v>-5</v>
      </c>
      <c r="E40" s="4">
        <f t="shared" si="0"/>
        <v>-40.290900000000001</v>
      </c>
      <c r="F40" s="4">
        <f t="shared" si="1"/>
        <v>-42.332900000000002</v>
      </c>
      <c r="G40" s="4">
        <f t="shared" si="2"/>
        <v>-42.6188</v>
      </c>
      <c r="H40" s="4">
        <f t="shared" si="3"/>
        <v>-42.605499999999999</v>
      </c>
      <c r="I40" s="4">
        <f t="shared" si="4"/>
        <v>-41.445900000000002</v>
      </c>
      <c r="J40" s="4">
        <f t="shared" si="5"/>
        <v>-39.241700000000002</v>
      </c>
      <c r="K40" s="4">
        <f t="shared" si="8"/>
        <v>-40.329799999999999</v>
      </c>
      <c r="L40" s="4">
        <f t="shared" si="6"/>
        <v>-36.957100000000004</v>
      </c>
      <c r="M40" s="4"/>
      <c r="N40" s="4"/>
      <c r="P40" s="4">
        <f t="shared" si="7"/>
        <v>-40.727825000000003</v>
      </c>
      <c r="Q40" s="2"/>
      <c r="R40" s="7"/>
      <c r="S40" s="10">
        <v>175</v>
      </c>
      <c r="T40" s="5">
        <v>-178731</v>
      </c>
      <c r="U40" s="2">
        <v>36</v>
      </c>
      <c r="V40" s="11">
        <v>-402909</v>
      </c>
      <c r="W40" s="11">
        <v>-423329</v>
      </c>
      <c r="X40" s="11">
        <v>-426188</v>
      </c>
      <c r="Y40" s="11">
        <v>-426055</v>
      </c>
      <c r="Z40" s="11">
        <v>-414459</v>
      </c>
      <c r="AA40" s="11">
        <v>-392417</v>
      </c>
      <c r="AB40" s="11">
        <v>-403298</v>
      </c>
      <c r="AC40" s="11">
        <v>-369571</v>
      </c>
    </row>
    <row r="41" spans="4:29" x14ac:dyDescent="0.3">
      <c r="D41" s="2">
        <v>0</v>
      </c>
      <c r="E41" s="4">
        <f t="shared" si="0"/>
        <v>-40.239699999999999</v>
      </c>
      <c r="F41" s="4">
        <f t="shared" si="1"/>
        <v>-41.353300000000004</v>
      </c>
      <c r="G41" s="4">
        <f t="shared" si="2"/>
        <v>-41.588900000000002</v>
      </c>
      <c r="H41" s="4">
        <f t="shared" si="3"/>
        <v>-41.816300000000005</v>
      </c>
      <c r="I41" s="4">
        <f t="shared" si="4"/>
        <v>-40.924600000000005</v>
      </c>
      <c r="J41" s="4">
        <f t="shared" si="5"/>
        <v>-38.326900000000002</v>
      </c>
      <c r="K41" s="4">
        <f t="shared" si="8"/>
        <v>-39.729700000000001</v>
      </c>
      <c r="L41" s="4">
        <f t="shared" si="6"/>
        <v>-36.469200000000001</v>
      </c>
      <c r="M41" s="4"/>
      <c r="N41" s="4"/>
      <c r="P41" s="4">
        <f t="shared" si="7"/>
        <v>-40.056075</v>
      </c>
      <c r="Q41" s="2"/>
      <c r="R41" s="7"/>
      <c r="S41" s="10">
        <v>180</v>
      </c>
      <c r="T41" s="5">
        <v>-182061</v>
      </c>
      <c r="U41" s="2">
        <v>37</v>
      </c>
      <c r="V41" s="11">
        <v>-402397</v>
      </c>
      <c r="W41" s="11">
        <v>-413533</v>
      </c>
      <c r="X41" s="11">
        <v>-415889</v>
      </c>
      <c r="Y41" s="11">
        <v>-418163</v>
      </c>
      <c r="Z41" s="11">
        <v>-409246</v>
      </c>
      <c r="AA41" s="11">
        <v>-383269</v>
      </c>
      <c r="AB41" s="11">
        <v>-397297</v>
      </c>
      <c r="AC41" s="11">
        <v>-364692</v>
      </c>
    </row>
    <row r="42" spans="4:29" x14ac:dyDescent="0.3">
      <c r="D42" s="2">
        <v>5</v>
      </c>
      <c r="E42" s="4">
        <f t="shared" si="0"/>
        <v>-40.608600000000003</v>
      </c>
      <c r="F42" s="4">
        <f t="shared" si="1"/>
        <v>-41.105900000000005</v>
      </c>
      <c r="G42" s="4">
        <f t="shared" si="2"/>
        <v>-40.608400000000003</v>
      </c>
      <c r="H42" s="4">
        <f t="shared" si="3"/>
        <v>-40.415500000000002</v>
      </c>
      <c r="I42" s="4">
        <f t="shared" si="4"/>
        <v>-40.417999999999999</v>
      </c>
      <c r="J42" s="4">
        <f t="shared" si="5"/>
        <v>-38.8979</v>
      </c>
      <c r="K42" s="4">
        <f t="shared" si="8"/>
        <v>-40.557200000000002</v>
      </c>
      <c r="L42" s="4">
        <f t="shared" si="6"/>
        <v>-35.303899999999999</v>
      </c>
      <c r="M42" s="4"/>
      <c r="N42" s="4"/>
      <c r="P42" s="4">
        <f t="shared" si="7"/>
        <v>-39.739425000000004</v>
      </c>
      <c r="Q42" s="2"/>
      <c r="R42" s="7"/>
      <c r="S42" s="10">
        <v>185</v>
      </c>
      <c r="T42" s="5">
        <v>-179172</v>
      </c>
      <c r="U42" s="2">
        <v>38</v>
      </c>
      <c r="V42" s="11">
        <v>-406086</v>
      </c>
      <c r="W42" s="11">
        <v>-411059</v>
      </c>
      <c r="X42" s="11">
        <v>-406084</v>
      </c>
      <c r="Y42" s="11">
        <v>-404155</v>
      </c>
      <c r="Z42" s="11">
        <v>-404180</v>
      </c>
      <c r="AA42" s="11">
        <v>-388979</v>
      </c>
      <c r="AB42" s="11">
        <v>-405572</v>
      </c>
      <c r="AC42" s="11">
        <v>-353039</v>
      </c>
    </row>
    <row r="43" spans="4:29" x14ac:dyDescent="0.3">
      <c r="D43" s="2">
        <v>10</v>
      </c>
      <c r="E43" s="4">
        <f t="shared" si="0"/>
        <v>-41.5976</v>
      </c>
      <c r="F43" s="4">
        <f t="shared" si="1"/>
        <v>-41.308800000000005</v>
      </c>
      <c r="G43" s="4">
        <f t="shared" si="2"/>
        <v>-40.808500000000002</v>
      </c>
      <c r="H43" s="4">
        <f t="shared" si="3"/>
        <v>-40.610199999999999</v>
      </c>
      <c r="I43" s="4">
        <f t="shared" si="4"/>
        <v>-40.7622</v>
      </c>
      <c r="J43" s="4">
        <f t="shared" si="5"/>
        <v>-39.165100000000002</v>
      </c>
      <c r="K43" s="4">
        <f t="shared" si="8"/>
        <v>-40.971299999999999</v>
      </c>
      <c r="L43" s="4">
        <f t="shared" si="6"/>
        <v>-35.618200000000002</v>
      </c>
      <c r="M43" s="4"/>
      <c r="N43" s="4"/>
      <c r="P43" s="4">
        <f t="shared" si="7"/>
        <v>-40.105237500000001</v>
      </c>
      <c r="Q43" s="2"/>
      <c r="R43" s="7"/>
      <c r="S43" s="10">
        <v>190</v>
      </c>
      <c r="T43" s="5">
        <v>-180904</v>
      </c>
      <c r="U43" s="2">
        <v>39</v>
      </c>
      <c r="V43" s="11">
        <v>-415976</v>
      </c>
      <c r="W43" s="11">
        <v>-413088</v>
      </c>
      <c r="X43" s="11">
        <v>-408085</v>
      </c>
      <c r="Y43" s="11">
        <v>-406102</v>
      </c>
      <c r="Z43" s="11">
        <v>-407622</v>
      </c>
      <c r="AA43" s="11">
        <v>-391651</v>
      </c>
      <c r="AB43" s="11">
        <v>-409713</v>
      </c>
      <c r="AC43" s="11">
        <v>-356182</v>
      </c>
    </row>
    <row r="44" spans="4:29" x14ac:dyDescent="0.3">
      <c r="D44" s="2">
        <v>15</v>
      </c>
      <c r="E44" s="4">
        <f t="shared" si="0"/>
        <v>-43.475000000000001</v>
      </c>
      <c r="F44" s="4">
        <f t="shared" si="1"/>
        <v>-42.142299999999999</v>
      </c>
      <c r="G44" s="4">
        <f t="shared" si="2"/>
        <v>-41.5777</v>
      </c>
      <c r="H44" s="4">
        <f t="shared" si="3"/>
        <v>-41.3994</v>
      </c>
      <c r="I44" s="4">
        <f t="shared" si="4"/>
        <v>-41.4754</v>
      </c>
      <c r="J44" s="4">
        <f t="shared" si="5"/>
        <v>-39.900700000000001</v>
      </c>
      <c r="K44" s="4">
        <f t="shared" si="8"/>
        <v>-42.014500000000005</v>
      </c>
      <c r="L44" s="4">
        <f t="shared" si="6"/>
        <v>-36.230000000000004</v>
      </c>
      <c r="M44" s="4"/>
      <c r="N44" s="4"/>
      <c r="P44" s="4">
        <f t="shared" si="7"/>
        <v>-41.026875000000004</v>
      </c>
      <c r="Q44" s="2"/>
      <c r="R44" s="7"/>
      <c r="S44" s="10">
        <v>195</v>
      </c>
      <c r="T44" s="5">
        <v>-192248</v>
      </c>
      <c r="U44" s="2">
        <v>40</v>
      </c>
      <c r="V44" s="11">
        <v>-434750</v>
      </c>
      <c r="W44" s="11">
        <v>-421423</v>
      </c>
      <c r="X44" s="11">
        <v>-415777</v>
      </c>
      <c r="Y44" s="11">
        <v>-413994</v>
      </c>
      <c r="Z44" s="11">
        <v>-414754</v>
      </c>
      <c r="AA44" s="11">
        <v>-399007</v>
      </c>
      <c r="AB44" s="11">
        <v>-420145</v>
      </c>
      <c r="AC44" s="11">
        <v>-362300</v>
      </c>
    </row>
    <row r="45" spans="4:29" x14ac:dyDescent="0.3">
      <c r="D45" s="2">
        <v>20</v>
      </c>
      <c r="E45" s="4">
        <f t="shared" si="0"/>
        <v>-46.142400000000002</v>
      </c>
      <c r="F45" s="4">
        <f t="shared" si="1"/>
        <v>-43.463799999999999</v>
      </c>
      <c r="G45" s="4">
        <f t="shared" si="2"/>
        <v>-42.899799999999999</v>
      </c>
      <c r="H45" s="4">
        <f t="shared" si="3"/>
        <v>-42.7089</v>
      </c>
      <c r="I45" s="4">
        <f t="shared" si="4"/>
        <v>-42.751600000000003</v>
      </c>
      <c r="J45" s="4">
        <f t="shared" si="5"/>
        <v>-41.422699999999999</v>
      </c>
      <c r="K45" s="4">
        <f t="shared" si="8"/>
        <v>-43.729900000000001</v>
      </c>
      <c r="L45" s="4">
        <f t="shared" si="6"/>
        <v>-37.434800000000003</v>
      </c>
      <c r="M45" s="4"/>
      <c r="N45" s="4"/>
      <c r="P45" s="4">
        <f t="shared" si="7"/>
        <v>-42.5692375</v>
      </c>
      <c r="Q45" s="2"/>
      <c r="R45" s="7"/>
      <c r="S45" s="10">
        <v>200</v>
      </c>
      <c r="T45" s="5">
        <v>-203124</v>
      </c>
      <c r="U45" s="2">
        <v>41</v>
      </c>
      <c r="V45" s="11">
        <v>-461424</v>
      </c>
      <c r="W45" s="11">
        <v>-434638</v>
      </c>
      <c r="X45" s="11">
        <v>-428998</v>
      </c>
      <c r="Y45" s="11">
        <v>-427089</v>
      </c>
      <c r="Z45" s="11">
        <v>-427516</v>
      </c>
      <c r="AA45" s="11">
        <v>-414227</v>
      </c>
      <c r="AB45" s="11">
        <v>-437299</v>
      </c>
      <c r="AC45" s="11">
        <v>-374348</v>
      </c>
    </row>
    <row r="46" spans="4:29" x14ac:dyDescent="0.3">
      <c r="D46" s="2">
        <v>25</v>
      </c>
      <c r="E46" s="4">
        <f t="shared" si="0"/>
        <v>-50.098600000000005</v>
      </c>
      <c r="F46" s="4">
        <f t="shared" si="1"/>
        <v>-45.607500000000002</v>
      </c>
      <c r="G46" s="4">
        <f t="shared" si="2"/>
        <v>-44.962000000000003</v>
      </c>
      <c r="H46" s="4">
        <f t="shared" si="3"/>
        <v>-44.883400000000002</v>
      </c>
      <c r="I46" s="4">
        <f t="shared" si="4"/>
        <v>-44.759</v>
      </c>
      <c r="J46" s="4">
        <f t="shared" si="5"/>
        <v>-43.756800000000005</v>
      </c>
      <c r="K46" s="4">
        <f t="shared" si="8"/>
        <v>-46.515599999999999</v>
      </c>
      <c r="L46" s="4">
        <f t="shared" si="6"/>
        <v>-39.130500000000005</v>
      </c>
      <c r="M46" s="4"/>
      <c r="N46" s="4"/>
      <c r="P46" s="4">
        <f t="shared" si="7"/>
        <v>-44.964174999999997</v>
      </c>
      <c r="Q46" s="2"/>
      <c r="R46" s="7"/>
      <c r="S46" s="10">
        <v>205</v>
      </c>
      <c r="T46" s="5">
        <v>-219387</v>
      </c>
      <c r="U46" s="2">
        <v>42</v>
      </c>
      <c r="V46" s="11">
        <v>-500986</v>
      </c>
      <c r="W46" s="11">
        <v>-456075</v>
      </c>
      <c r="X46" s="11">
        <v>-449620</v>
      </c>
      <c r="Y46" s="11">
        <v>-448834</v>
      </c>
      <c r="Z46" s="11">
        <v>-447590</v>
      </c>
      <c r="AA46" s="11">
        <v>-437568</v>
      </c>
      <c r="AB46" s="11">
        <v>-465156</v>
      </c>
      <c r="AC46" s="11">
        <v>-391305</v>
      </c>
    </row>
    <row r="47" spans="4:29" x14ac:dyDescent="0.3">
      <c r="D47" s="2">
        <v>30</v>
      </c>
      <c r="E47" s="4">
        <f t="shared" si="0"/>
        <v>-56.1629</v>
      </c>
      <c r="F47" s="4">
        <f t="shared" si="1"/>
        <v>-48.564900000000002</v>
      </c>
      <c r="G47" s="4">
        <f t="shared" si="2"/>
        <v>-48.072600000000001</v>
      </c>
      <c r="H47" s="4">
        <f t="shared" si="3"/>
        <v>-47.9465</v>
      </c>
      <c r="I47" s="4">
        <f t="shared" si="4"/>
        <v>-47.783500000000004</v>
      </c>
      <c r="J47" s="4">
        <f t="shared" si="5"/>
        <v>-47.922699999999999</v>
      </c>
      <c r="K47" s="4">
        <f t="shared" si="8"/>
        <v>-50.697099999999999</v>
      </c>
      <c r="L47" s="4">
        <f t="shared" si="6"/>
        <v>-41.092500000000001</v>
      </c>
      <c r="M47" s="4"/>
      <c r="N47" s="4"/>
      <c r="P47" s="4">
        <f t="shared" si="7"/>
        <v>-48.530337500000002</v>
      </c>
      <c r="Q47" s="2"/>
      <c r="R47" s="7"/>
      <c r="S47" s="10">
        <v>210</v>
      </c>
      <c r="T47" s="5">
        <v>-239184</v>
      </c>
      <c r="U47" s="2">
        <v>43</v>
      </c>
      <c r="V47" s="11">
        <v>-561629</v>
      </c>
      <c r="W47" s="11">
        <v>-485649</v>
      </c>
      <c r="X47" s="11">
        <v>-480726</v>
      </c>
      <c r="Y47" s="11">
        <v>-479465</v>
      </c>
      <c r="Z47" s="11">
        <v>-477835</v>
      </c>
      <c r="AA47" s="11">
        <v>-479227</v>
      </c>
      <c r="AB47" s="11">
        <v>-506971</v>
      </c>
      <c r="AC47" s="11">
        <v>-410925</v>
      </c>
    </row>
    <row r="48" spans="4:29" x14ac:dyDescent="0.3">
      <c r="D48" s="2">
        <v>35</v>
      </c>
      <c r="E48" s="4">
        <f t="shared" si="0"/>
        <v>-63.302700000000002</v>
      </c>
      <c r="F48" s="4">
        <f t="shared" si="1"/>
        <v>-52.363900000000001</v>
      </c>
      <c r="G48" s="4">
        <f t="shared" si="2"/>
        <v>-52.161500000000004</v>
      </c>
      <c r="H48" s="4">
        <f t="shared" si="3"/>
        <v>-51.790300000000002</v>
      </c>
      <c r="I48" s="4">
        <f t="shared" si="4"/>
        <v>-51.739000000000004</v>
      </c>
      <c r="J48" s="4">
        <f t="shared" si="5"/>
        <v>-54.756100000000004</v>
      </c>
      <c r="K48" s="4">
        <f t="shared" si="8"/>
        <v>-57.738</v>
      </c>
      <c r="L48" s="4">
        <f t="shared" si="6"/>
        <v>-42.585900000000002</v>
      </c>
      <c r="M48" s="4"/>
      <c r="N48" s="4"/>
      <c r="P48" s="4">
        <f t="shared" si="7"/>
        <v>-53.304674999999996</v>
      </c>
      <c r="Q48" s="2"/>
      <c r="R48" s="7"/>
      <c r="S48" s="10">
        <v>215</v>
      </c>
      <c r="T48" s="5">
        <v>-266082</v>
      </c>
      <c r="U48" s="2">
        <v>44</v>
      </c>
      <c r="V48" s="11">
        <v>-633027</v>
      </c>
      <c r="W48" s="11">
        <v>-523639</v>
      </c>
      <c r="X48" s="11">
        <v>-521615</v>
      </c>
      <c r="Y48" s="11">
        <v>-517903</v>
      </c>
      <c r="Z48" s="11">
        <v>-517390</v>
      </c>
      <c r="AA48" s="11">
        <v>-547561</v>
      </c>
      <c r="AB48" s="11">
        <v>-577380</v>
      </c>
      <c r="AC48" s="11">
        <v>-425859</v>
      </c>
    </row>
    <row r="49" spans="4:29" x14ac:dyDescent="0.3">
      <c r="D49" s="2">
        <v>40</v>
      </c>
      <c r="E49" s="4">
        <f t="shared" si="0"/>
        <v>-65.204900000000009</v>
      </c>
      <c r="F49" s="4">
        <f t="shared" si="1"/>
        <v>-56.640900000000002</v>
      </c>
      <c r="G49" s="4">
        <f t="shared" si="2"/>
        <v>-56.408100000000005</v>
      </c>
      <c r="H49" s="4">
        <f t="shared" si="3"/>
        <v>-56.681699999999999</v>
      </c>
      <c r="I49" s="4">
        <f t="shared" si="4"/>
        <v>-56.6008</v>
      </c>
      <c r="J49" s="4">
        <f t="shared" si="5"/>
        <v>-65.589100000000002</v>
      </c>
      <c r="K49" s="4">
        <f t="shared" si="8"/>
        <v>-65.924000000000007</v>
      </c>
      <c r="L49" s="4">
        <f t="shared" si="6"/>
        <v>-42.8337</v>
      </c>
      <c r="M49" s="4"/>
      <c r="N49" s="4"/>
      <c r="P49" s="4">
        <f t="shared" si="7"/>
        <v>-58.235399999999998</v>
      </c>
      <c r="Q49" s="2"/>
      <c r="R49" s="7"/>
      <c r="S49" s="10">
        <v>220</v>
      </c>
      <c r="T49" s="5">
        <v>-295963</v>
      </c>
      <c r="U49" s="2">
        <v>45</v>
      </c>
      <c r="V49" s="11">
        <v>-652049</v>
      </c>
      <c r="W49" s="11">
        <v>-566409</v>
      </c>
      <c r="X49" s="11">
        <v>-564081</v>
      </c>
      <c r="Y49" s="11">
        <v>-566817</v>
      </c>
      <c r="Z49" s="11">
        <v>-566008</v>
      </c>
      <c r="AA49" s="11">
        <v>-655891</v>
      </c>
      <c r="AB49" s="11">
        <v>-659240</v>
      </c>
      <c r="AC49" s="11">
        <v>-428337</v>
      </c>
    </row>
    <row r="50" spans="4:29" x14ac:dyDescent="0.3">
      <c r="D50" s="2">
        <v>45</v>
      </c>
      <c r="E50" s="4">
        <f t="shared" si="0"/>
        <v>-63.5747</v>
      </c>
      <c r="F50" s="4">
        <f t="shared" si="1"/>
        <v>-58.773099999999999</v>
      </c>
      <c r="G50" s="4">
        <f t="shared" si="2"/>
        <v>-59.122900000000001</v>
      </c>
      <c r="H50" s="4">
        <f t="shared" si="3"/>
        <v>-59.417500000000004</v>
      </c>
      <c r="I50" s="4">
        <f t="shared" si="4"/>
        <v>-59.784000000000006</v>
      </c>
      <c r="J50" s="4">
        <f t="shared" si="5"/>
        <v>-65.665599999999998</v>
      </c>
      <c r="K50" s="4">
        <f t="shared" si="8"/>
        <v>-67.394199999999998</v>
      </c>
      <c r="L50" s="4">
        <f t="shared" si="6"/>
        <v>-42.367899999999999</v>
      </c>
      <c r="M50" s="4"/>
      <c r="N50" s="4"/>
      <c r="P50" s="4">
        <f t="shared" si="7"/>
        <v>-59.512487500000006</v>
      </c>
      <c r="Q50" s="2"/>
      <c r="R50" s="7"/>
      <c r="S50" s="10">
        <v>225</v>
      </c>
      <c r="T50" s="5">
        <v>-325142</v>
      </c>
      <c r="U50" s="2">
        <v>46</v>
      </c>
      <c r="V50" s="11">
        <v>-635747</v>
      </c>
      <c r="W50" s="11">
        <v>-587731</v>
      </c>
      <c r="X50" s="11">
        <v>-591229</v>
      </c>
      <c r="Y50" s="11">
        <v>-594175</v>
      </c>
      <c r="Z50" s="11">
        <v>-597840</v>
      </c>
      <c r="AA50" s="11">
        <v>-656656</v>
      </c>
      <c r="AB50" s="11">
        <v>-673942</v>
      </c>
      <c r="AC50" s="11">
        <v>-423679</v>
      </c>
    </row>
    <row r="51" spans="4:29" x14ac:dyDescent="0.3">
      <c r="D51" s="2">
        <v>50</v>
      </c>
      <c r="E51" s="4">
        <f t="shared" si="0"/>
        <v>-56.960500000000003</v>
      </c>
      <c r="F51" s="4">
        <f t="shared" si="1"/>
        <v>-56.665700000000001</v>
      </c>
      <c r="G51" s="4">
        <f t="shared" si="2"/>
        <v>-57.0578</v>
      </c>
      <c r="H51" s="4">
        <f t="shared" si="3"/>
        <v>-58.005900000000004</v>
      </c>
      <c r="I51" s="4">
        <f t="shared" si="4"/>
        <v>-57.886100000000006</v>
      </c>
      <c r="J51" s="4">
        <f t="shared" si="5"/>
        <v>-64.219300000000004</v>
      </c>
      <c r="K51" s="4">
        <f t="shared" si="8"/>
        <v>-66.6096</v>
      </c>
      <c r="L51" s="4">
        <f t="shared" si="6"/>
        <v>-42.133000000000003</v>
      </c>
      <c r="M51" s="4"/>
      <c r="N51" s="4"/>
      <c r="P51" s="4">
        <f t="shared" si="7"/>
        <v>-57.442237499999997</v>
      </c>
      <c r="Q51" s="2"/>
      <c r="R51" s="7"/>
      <c r="S51" s="10">
        <v>230</v>
      </c>
      <c r="T51" s="5">
        <v>-392336</v>
      </c>
      <c r="U51" s="2">
        <v>47</v>
      </c>
      <c r="V51" s="11">
        <v>-569605</v>
      </c>
      <c r="W51" s="11">
        <v>-566657</v>
      </c>
      <c r="X51" s="11">
        <v>-570578</v>
      </c>
      <c r="Y51" s="11">
        <v>-580059</v>
      </c>
      <c r="Z51" s="11">
        <v>-578861</v>
      </c>
      <c r="AA51" s="11">
        <v>-642193</v>
      </c>
      <c r="AB51" s="11">
        <v>-666096</v>
      </c>
      <c r="AC51" s="11">
        <v>-421330</v>
      </c>
    </row>
    <row r="52" spans="4:29" x14ac:dyDescent="0.3">
      <c r="D52" s="2">
        <v>55</v>
      </c>
      <c r="E52" s="4">
        <f t="shared" si="0"/>
        <v>-50.854600000000005</v>
      </c>
      <c r="F52" s="4">
        <f t="shared" si="1"/>
        <v>-52.637700000000002</v>
      </c>
      <c r="G52" s="4">
        <f t="shared" si="2"/>
        <v>-52.230900000000005</v>
      </c>
      <c r="H52" s="4">
        <f t="shared" si="3"/>
        <v>-52.924900000000001</v>
      </c>
      <c r="I52" s="4">
        <f t="shared" si="4"/>
        <v>-53.385100000000001</v>
      </c>
      <c r="J52" s="4">
        <f t="shared" si="5"/>
        <v>-65.139700000000005</v>
      </c>
      <c r="K52" s="4">
        <f t="shared" si="8"/>
        <v>-60.361900000000006</v>
      </c>
      <c r="L52" s="4">
        <f t="shared" si="6"/>
        <v>-42.542400000000001</v>
      </c>
      <c r="M52" s="4"/>
      <c r="N52" s="4"/>
      <c r="P52" s="4">
        <f t="shared" si="7"/>
        <v>-53.759650000000001</v>
      </c>
      <c r="Q52" s="2"/>
      <c r="R52" s="7"/>
      <c r="S52" s="10">
        <v>235</v>
      </c>
      <c r="T52" s="5">
        <v>-485746</v>
      </c>
      <c r="U52" s="2">
        <v>48</v>
      </c>
      <c r="V52" s="11">
        <v>-508546</v>
      </c>
      <c r="W52" s="11">
        <v>-526377</v>
      </c>
      <c r="X52" s="11">
        <v>-522309</v>
      </c>
      <c r="Y52" s="11">
        <v>-529249</v>
      </c>
      <c r="Z52" s="11">
        <v>-533851</v>
      </c>
      <c r="AA52" s="11">
        <v>-651397</v>
      </c>
      <c r="AB52" s="11">
        <v>-603619</v>
      </c>
      <c r="AC52" s="11">
        <v>-425424</v>
      </c>
    </row>
    <row r="53" spans="4:29" x14ac:dyDescent="0.3">
      <c r="D53" s="2">
        <v>60</v>
      </c>
      <c r="E53" s="4">
        <f t="shared" si="0"/>
        <v>-47.024799999999999</v>
      </c>
      <c r="F53" s="4">
        <f t="shared" si="1"/>
        <v>-48.942399999999999</v>
      </c>
      <c r="G53" s="4">
        <f t="shared" si="2"/>
        <v>-48.549100000000003</v>
      </c>
      <c r="H53" s="4">
        <f t="shared" si="3"/>
        <v>-49.123600000000003</v>
      </c>
      <c r="I53" s="4">
        <f t="shared" si="4"/>
        <v>-49.569500000000005</v>
      </c>
      <c r="J53" s="4">
        <f t="shared" si="5"/>
        <v>-56.205100000000002</v>
      </c>
      <c r="K53" s="4">
        <f t="shared" si="8"/>
        <v>-53.106300000000005</v>
      </c>
      <c r="L53" s="4">
        <f t="shared" si="6"/>
        <v>-43.792400000000001</v>
      </c>
      <c r="M53" s="4"/>
      <c r="N53" s="4"/>
      <c r="P53" s="4">
        <f t="shared" si="7"/>
        <v>-49.539149999999999</v>
      </c>
      <c r="Q53" s="2"/>
      <c r="R53" s="7"/>
      <c r="S53" s="10">
        <v>240</v>
      </c>
      <c r="T53" s="5">
        <v>-522018</v>
      </c>
      <c r="U53" s="2">
        <v>49</v>
      </c>
      <c r="V53" s="11">
        <v>-470248</v>
      </c>
      <c r="W53" s="11">
        <v>-489424</v>
      </c>
      <c r="X53" s="11">
        <v>-485491</v>
      </c>
      <c r="Y53" s="11">
        <v>-491236</v>
      </c>
      <c r="Z53" s="11">
        <v>-495695</v>
      </c>
      <c r="AA53" s="11">
        <v>-562051</v>
      </c>
      <c r="AB53" s="11">
        <v>-531063</v>
      </c>
      <c r="AC53" s="11">
        <v>-437924</v>
      </c>
    </row>
    <row r="54" spans="4:29" x14ac:dyDescent="0.3">
      <c r="D54" s="2">
        <v>65</v>
      </c>
      <c r="E54" s="4">
        <f t="shared" si="0"/>
        <v>-44.527000000000001</v>
      </c>
      <c r="F54" s="4">
        <f t="shared" si="1"/>
        <v>-46.0687</v>
      </c>
      <c r="G54" s="4">
        <f t="shared" si="2"/>
        <v>-45.9298</v>
      </c>
      <c r="H54" s="4">
        <f t="shared" si="3"/>
        <v>-46.029700000000005</v>
      </c>
      <c r="I54" s="4">
        <f t="shared" si="4"/>
        <v>-46.439900000000002</v>
      </c>
      <c r="J54" s="4">
        <f t="shared" si="5"/>
        <v>-49.547200000000004</v>
      </c>
      <c r="K54" s="4">
        <f t="shared" si="8"/>
        <v>-48.385800000000003</v>
      </c>
      <c r="L54" s="4">
        <f t="shared" si="6"/>
        <v>-46.187600000000003</v>
      </c>
      <c r="M54" s="4"/>
      <c r="N54" s="4"/>
      <c r="P54" s="4">
        <f t="shared" si="7"/>
        <v>-46.639462500000008</v>
      </c>
      <c r="Q54" s="2"/>
      <c r="R54" s="7"/>
      <c r="S54" s="10">
        <v>245</v>
      </c>
      <c r="T54" s="5">
        <v>-495531</v>
      </c>
      <c r="U54" s="2">
        <v>50</v>
      </c>
      <c r="V54" s="11">
        <v>-445270</v>
      </c>
      <c r="W54" s="11">
        <v>-460687</v>
      </c>
      <c r="X54" s="11">
        <v>-459298</v>
      </c>
      <c r="Y54" s="11">
        <v>-460297</v>
      </c>
      <c r="Z54" s="11">
        <v>-464399</v>
      </c>
      <c r="AA54" s="11">
        <v>-495472</v>
      </c>
      <c r="AB54" s="11">
        <v>-483858</v>
      </c>
      <c r="AC54" s="11">
        <v>-461876</v>
      </c>
    </row>
    <row r="55" spans="4:29" x14ac:dyDescent="0.3">
      <c r="D55" s="2">
        <v>70</v>
      </c>
      <c r="E55" s="4">
        <f t="shared" si="0"/>
        <v>-43.2074</v>
      </c>
      <c r="F55" s="4">
        <f t="shared" si="1"/>
        <v>-44.3795</v>
      </c>
      <c r="G55" s="4">
        <f t="shared" si="2"/>
        <v>-44.2346</v>
      </c>
      <c r="H55" s="4">
        <f t="shared" si="3"/>
        <v>-44.325500000000005</v>
      </c>
      <c r="I55" s="4">
        <f t="shared" si="4"/>
        <v>-44.710599999999999</v>
      </c>
      <c r="J55" s="4">
        <f t="shared" si="5"/>
        <v>-45.7423</v>
      </c>
      <c r="K55" s="4">
        <f t="shared" si="8"/>
        <v>-45.428600000000003</v>
      </c>
      <c r="L55" s="4">
        <f t="shared" si="6"/>
        <v>-50.8521</v>
      </c>
      <c r="M55" s="4"/>
      <c r="N55" s="4"/>
      <c r="P55" s="4">
        <f t="shared" si="7"/>
        <v>-45.360075000000009</v>
      </c>
      <c r="Q55" s="2"/>
      <c r="R55" s="7"/>
      <c r="S55" s="10">
        <v>250</v>
      </c>
      <c r="T55" s="5">
        <v>-518317</v>
      </c>
      <c r="U55" s="2">
        <v>51</v>
      </c>
      <c r="V55" s="11">
        <v>-432074</v>
      </c>
      <c r="W55" s="11">
        <v>-443795</v>
      </c>
      <c r="X55" s="11">
        <v>-442346</v>
      </c>
      <c r="Y55" s="11">
        <v>-443255</v>
      </c>
      <c r="Z55" s="11">
        <v>-447106</v>
      </c>
      <c r="AA55" s="11">
        <v>-457423</v>
      </c>
      <c r="AB55" s="11">
        <v>-454286</v>
      </c>
      <c r="AC55" s="11">
        <v>-508521</v>
      </c>
    </row>
    <row r="56" spans="4:29" x14ac:dyDescent="0.3">
      <c r="D56" s="2">
        <v>75</v>
      </c>
      <c r="E56" s="4">
        <f t="shared" si="0"/>
        <v>-42.7273</v>
      </c>
      <c r="F56" s="4">
        <f t="shared" si="1"/>
        <v>-43.342600000000004</v>
      </c>
      <c r="G56" s="4">
        <f t="shared" si="2"/>
        <v>-43.144000000000005</v>
      </c>
      <c r="H56" s="4">
        <f t="shared" si="3"/>
        <v>-43.510899999999999</v>
      </c>
      <c r="I56" s="4">
        <f t="shared" si="4"/>
        <v>-43.606700000000004</v>
      </c>
      <c r="J56" s="4">
        <f t="shared" si="5"/>
        <v>-43.450099999999999</v>
      </c>
      <c r="K56" s="4">
        <f t="shared" si="8"/>
        <v>-43.965499999999999</v>
      </c>
      <c r="L56" s="4">
        <f t="shared" si="6"/>
        <v>-60.505900000000004</v>
      </c>
      <c r="M56" s="4"/>
      <c r="N56" s="4"/>
      <c r="P56" s="4">
        <f t="shared" si="7"/>
        <v>-45.531625000000005</v>
      </c>
      <c r="Q56" s="2"/>
      <c r="R56" s="7"/>
      <c r="S56" s="10">
        <v>255</v>
      </c>
      <c r="T56" s="5">
        <v>-528746</v>
      </c>
      <c r="U56" s="2">
        <v>52</v>
      </c>
      <c r="V56" s="11">
        <v>-427273</v>
      </c>
      <c r="W56" s="11">
        <v>-433426</v>
      </c>
      <c r="X56" s="11">
        <v>-431440</v>
      </c>
      <c r="Y56" s="11">
        <v>-435109</v>
      </c>
      <c r="Z56" s="11">
        <v>-436067</v>
      </c>
      <c r="AA56" s="11">
        <v>-434501</v>
      </c>
      <c r="AB56" s="11">
        <v>-439655</v>
      </c>
      <c r="AC56" s="11">
        <v>-605059</v>
      </c>
    </row>
    <row r="57" spans="4:29" x14ac:dyDescent="0.3">
      <c r="D57" s="2">
        <v>80</v>
      </c>
      <c r="E57" s="4">
        <f t="shared" si="0"/>
        <v>-43.0062</v>
      </c>
      <c r="F57" s="4">
        <f t="shared" si="1"/>
        <v>-43.207500000000003</v>
      </c>
      <c r="G57" s="4">
        <f t="shared" si="2"/>
        <v>-42.904800000000002</v>
      </c>
      <c r="H57" s="4">
        <f t="shared" si="3"/>
        <v>-43.545500000000004</v>
      </c>
      <c r="I57" s="4">
        <f t="shared" si="4"/>
        <v>-43.425600000000003</v>
      </c>
      <c r="J57" s="4">
        <f t="shared" si="5"/>
        <v>-42.403200000000005</v>
      </c>
      <c r="K57" s="4">
        <f t="shared" si="8"/>
        <v>-43.347300000000004</v>
      </c>
      <c r="L57" s="4">
        <f t="shared" si="6"/>
        <v>-59.213800000000006</v>
      </c>
      <c r="M57" s="4"/>
      <c r="N57" s="4"/>
      <c r="P57" s="4">
        <f t="shared" si="7"/>
        <v>-45.131737500000007</v>
      </c>
      <c r="Q57" s="2"/>
      <c r="R57" s="7"/>
      <c r="S57" s="10">
        <v>260</v>
      </c>
      <c r="T57" s="5">
        <v>-502829</v>
      </c>
      <c r="U57" s="2">
        <v>53</v>
      </c>
      <c r="V57" s="11">
        <v>-430062</v>
      </c>
      <c r="W57" s="11">
        <v>-432075</v>
      </c>
      <c r="X57" s="11">
        <v>-429048</v>
      </c>
      <c r="Y57" s="11">
        <v>-435455</v>
      </c>
      <c r="Z57" s="11">
        <v>-434256</v>
      </c>
      <c r="AA57" s="11">
        <v>-424032</v>
      </c>
      <c r="AB57" s="11">
        <v>-433473</v>
      </c>
      <c r="AC57" s="11">
        <v>-592138</v>
      </c>
    </row>
    <row r="58" spans="4:29" x14ac:dyDescent="0.3">
      <c r="D58" s="2">
        <v>85</v>
      </c>
      <c r="E58" s="4">
        <f t="shared" si="0"/>
        <v>-44.122900000000001</v>
      </c>
      <c r="F58" s="4">
        <f t="shared" si="1"/>
        <v>-43.680500000000002</v>
      </c>
      <c r="G58" s="4">
        <f t="shared" si="2"/>
        <v>-43.416800000000002</v>
      </c>
      <c r="H58" s="4">
        <f t="shared" si="3"/>
        <v>-43.922600000000003</v>
      </c>
      <c r="I58" s="4">
        <f t="shared" si="4"/>
        <v>-43.949400000000004</v>
      </c>
      <c r="J58" s="4">
        <f t="shared" si="5"/>
        <v>-42.520800000000001</v>
      </c>
      <c r="K58" s="4">
        <f t="shared" si="8"/>
        <v>-43.7517</v>
      </c>
      <c r="L58" s="4">
        <f t="shared" si="6"/>
        <v>-51.589300000000001</v>
      </c>
      <c r="M58" s="4"/>
      <c r="N58" s="4"/>
      <c r="P58" s="4">
        <f t="shared" si="7"/>
        <v>-44.619249999999994</v>
      </c>
      <c r="Q58" s="2"/>
      <c r="R58" s="7"/>
      <c r="S58" s="10">
        <v>265</v>
      </c>
      <c r="T58" s="5">
        <v>-470498</v>
      </c>
      <c r="U58" s="2">
        <v>54</v>
      </c>
      <c r="V58" s="11">
        <v>-441229</v>
      </c>
      <c r="W58" s="11">
        <v>-436805</v>
      </c>
      <c r="X58" s="11">
        <v>-434168</v>
      </c>
      <c r="Y58" s="11">
        <v>-439226</v>
      </c>
      <c r="Z58" s="11">
        <v>-439494</v>
      </c>
      <c r="AA58" s="11">
        <v>-425208</v>
      </c>
      <c r="AB58" s="11">
        <v>-437517</v>
      </c>
      <c r="AC58" s="11">
        <v>-515893</v>
      </c>
    </row>
    <row r="59" spans="4:29" x14ac:dyDescent="0.3">
      <c r="D59" s="2">
        <v>90</v>
      </c>
      <c r="E59" s="4">
        <f t="shared" si="0"/>
        <v>-46.212600000000002</v>
      </c>
      <c r="F59" s="4">
        <f t="shared" si="1"/>
        <v>-44.804500000000004</v>
      </c>
      <c r="G59" s="4">
        <f t="shared" si="2"/>
        <v>-44.542300000000004</v>
      </c>
      <c r="H59" s="4">
        <f t="shared" si="3"/>
        <v>-45.142500000000005</v>
      </c>
      <c r="I59" s="4">
        <f t="shared" si="4"/>
        <v>-45.036000000000001</v>
      </c>
      <c r="J59" s="4">
        <f t="shared" si="5"/>
        <v>-43.638300000000001</v>
      </c>
      <c r="K59" s="4">
        <f t="shared" si="8"/>
        <v>-45.072000000000003</v>
      </c>
      <c r="L59" s="4">
        <f t="shared" si="6"/>
        <v>-49.3018</v>
      </c>
      <c r="M59" s="4"/>
      <c r="N59" s="4"/>
      <c r="P59" s="4">
        <f t="shared" si="7"/>
        <v>-45.468750000000007</v>
      </c>
      <c r="Q59" s="2"/>
      <c r="R59" s="7"/>
      <c r="S59" s="10">
        <v>270</v>
      </c>
      <c r="T59" s="5">
        <v>-455632</v>
      </c>
      <c r="U59" s="2">
        <v>55</v>
      </c>
      <c r="V59" s="11">
        <v>-462126</v>
      </c>
      <c r="W59" s="11">
        <v>-448045</v>
      </c>
      <c r="X59" s="11">
        <v>-445423</v>
      </c>
      <c r="Y59" s="11">
        <v>-451425</v>
      </c>
      <c r="Z59" s="11">
        <v>-450360</v>
      </c>
      <c r="AA59" s="11">
        <v>-436383</v>
      </c>
      <c r="AB59" s="11">
        <v>-450720</v>
      </c>
      <c r="AC59" s="11">
        <v>-493018</v>
      </c>
    </row>
    <row r="60" spans="4:29" x14ac:dyDescent="0.3">
      <c r="D60" s="2">
        <v>95</v>
      </c>
      <c r="E60" s="4">
        <f t="shared" si="0"/>
        <v>-48.376800000000003</v>
      </c>
      <c r="F60" s="4">
        <f t="shared" si="1"/>
        <v>-46.914300000000004</v>
      </c>
      <c r="G60" s="4">
        <f t="shared" si="2"/>
        <v>-46.661799999999999</v>
      </c>
      <c r="H60" s="4">
        <f t="shared" si="3"/>
        <v>-47.4236</v>
      </c>
      <c r="I60" s="4">
        <f t="shared" si="4"/>
        <v>-47.001300000000001</v>
      </c>
      <c r="J60" s="4">
        <f t="shared" si="5"/>
        <v>-45.844799999999999</v>
      </c>
      <c r="K60" s="4">
        <f t="shared" si="8"/>
        <v>-47.387800000000006</v>
      </c>
      <c r="L60" s="4">
        <f t="shared" si="6"/>
        <v>-49.310500000000005</v>
      </c>
      <c r="M60" s="4"/>
      <c r="N60" s="4"/>
      <c r="P60" s="4">
        <f t="shared" si="7"/>
        <v>-47.365112500000002</v>
      </c>
      <c r="Q60" s="2"/>
      <c r="R60" s="7"/>
      <c r="S60" s="10">
        <v>275</v>
      </c>
      <c r="T60" s="5">
        <v>-461047</v>
      </c>
      <c r="U60" s="2">
        <v>56</v>
      </c>
      <c r="V60" s="11">
        <v>-483768</v>
      </c>
      <c r="W60" s="11">
        <v>-469143</v>
      </c>
      <c r="X60" s="11">
        <v>-466618</v>
      </c>
      <c r="Y60" s="11">
        <v>-474236</v>
      </c>
      <c r="Z60" s="11">
        <v>-470013</v>
      </c>
      <c r="AA60" s="11">
        <v>-458448</v>
      </c>
      <c r="AB60" s="11">
        <v>-473878</v>
      </c>
      <c r="AC60" s="11">
        <v>-493105</v>
      </c>
    </row>
    <row r="61" spans="4:29" x14ac:dyDescent="0.3">
      <c r="D61" s="2">
        <v>100</v>
      </c>
      <c r="E61" s="4">
        <f t="shared" si="0"/>
        <v>-48.912100000000002</v>
      </c>
      <c r="F61" s="4">
        <f t="shared" si="1"/>
        <v>-49.0749</v>
      </c>
      <c r="G61" s="4">
        <f t="shared" si="2"/>
        <v>-49.291000000000004</v>
      </c>
      <c r="H61" s="4">
        <f t="shared" si="3"/>
        <v>-49.304000000000002</v>
      </c>
      <c r="I61" s="4">
        <f t="shared" si="4"/>
        <v>-48.656300000000002</v>
      </c>
      <c r="J61" s="4">
        <f t="shared" si="5"/>
        <v>-48.879000000000005</v>
      </c>
      <c r="K61" s="4">
        <f t="shared" si="8"/>
        <v>-49.485800000000005</v>
      </c>
      <c r="L61" s="4">
        <f t="shared" si="6"/>
        <v>-52.076300000000003</v>
      </c>
      <c r="M61" s="4"/>
      <c r="N61" s="4"/>
      <c r="P61" s="4">
        <f t="shared" si="7"/>
        <v>-49.459924999999998</v>
      </c>
      <c r="Q61" s="2"/>
      <c r="R61" s="7"/>
      <c r="S61" s="10">
        <v>280</v>
      </c>
      <c r="T61" s="5">
        <v>-478389</v>
      </c>
      <c r="U61" s="2">
        <v>57</v>
      </c>
      <c r="V61" s="11">
        <v>-489121</v>
      </c>
      <c r="W61" s="11">
        <v>-490749</v>
      </c>
      <c r="X61" s="11">
        <v>-492910</v>
      </c>
      <c r="Y61" s="11">
        <v>-493040</v>
      </c>
      <c r="Z61" s="11">
        <v>-486563</v>
      </c>
      <c r="AA61" s="11">
        <v>-488790</v>
      </c>
      <c r="AB61" s="11">
        <v>-494858</v>
      </c>
      <c r="AC61" s="11">
        <v>-520763</v>
      </c>
    </row>
    <row r="62" spans="4:29" x14ac:dyDescent="0.3">
      <c r="D62" s="2">
        <v>105</v>
      </c>
      <c r="E62" s="4">
        <f t="shared" si="0"/>
        <v>-48.385300000000001</v>
      </c>
      <c r="F62" s="4">
        <f t="shared" si="1"/>
        <v>-49.664900000000003</v>
      </c>
      <c r="G62" s="4">
        <f t="shared" si="2"/>
        <v>-50.2607</v>
      </c>
      <c r="H62" s="4">
        <f t="shared" si="3"/>
        <v>-49.434800000000003</v>
      </c>
      <c r="I62" s="4">
        <f t="shared" si="4"/>
        <v>-48.396000000000001</v>
      </c>
      <c r="J62" s="4">
        <f t="shared" si="5"/>
        <v>-50.052500000000002</v>
      </c>
      <c r="K62" s="4">
        <f t="shared" si="8"/>
        <v>-49.176900000000003</v>
      </c>
      <c r="L62" s="4">
        <f t="shared" si="6"/>
        <v>-59.106500000000004</v>
      </c>
      <c r="M62" s="4"/>
      <c r="N62" s="4"/>
      <c r="P62" s="4">
        <f t="shared" si="7"/>
        <v>-50.559699999999999</v>
      </c>
      <c r="Q62" s="2"/>
      <c r="R62" s="7"/>
      <c r="S62" s="10">
        <v>285</v>
      </c>
      <c r="T62" s="5">
        <v>-475536</v>
      </c>
      <c r="U62" s="2">
        <v>58</v>
      </c>
      <c r="V62" s="11">
        <v>-483853</v>
      </c>
      <c r="W62" s="11">
        <v>-496649</v>
      </c>
      <c r="X62" s="11">
        <v>-502607</v>
      </c>
      <c r="Y62" s="11">
        <v>-494348</v>
      </c>
      <c r="Z62" s="11">
        <v>-483960</v>
      </c>
      <c r="AA62" s="11">
        <v>-500525</v>
      </c>
      <c r="AB62" s="11">
        <v>-491769</v>
      </c>
      <c r="AC62" s="11">
        <v>-591065</v>
      </c>
    </row>
    <row r="63" spans="4:29" x14ac:dyDescent="0.3">
      <c r="D63" s="2">
        <v>110</v>
      </c>
      <c r="E63" s="4">
        <f t="shared" si="0"/>
        <v>-49.636700000000005</v>
      </c>
      <c r="F63" s="4">
        <f t="shared" si="1"/>
        <v>-49.153400000000005</v>
      </c>
      <c r="G63" s="4">
        <f t="shared" si="2"/>
        <v>-49.377300000000005</v>
      </c>
      <c r="H63" s="4">
        <f t="shared" si="3"/>
        <v>-48.500900000000001</v>
      </c>
      <c r="I63" s="4">
        <f t="shared" si="4"/>
        <v>-47.315100000000001</v>
      </c>
      <c r="J63" s="4">
        <f t="shared" si="5"/>
        <v>-49.122100000000003</v>
      </c>
      <c r="K63" s="4">
        <f t="shared" si="8"/>
        <v>-47.960799999999999</v>
      </c>
      <c r="L63" s="4">
        <f t="shared" si="6"/>
        <v>-64.494799999999998</v>
      </c>
      <c r="M63" s="4"/>
      <c r="N63" s="4"/>
      <c r="P63" s="4">
        <f t="shared" si="7"/>
        <v>-50.695137500000001</v>
      </c>
      <c r="Q63" s="2"/>
      <c r="R63" s="7"/>
      <c r="S63" s="10">
        <v>290</v>
      </c>
      <c r="T63" s="5">
        <v>-447195</v>
      </c>
      <c r="U63" s="2">
        <v>59</v>
      </c>
      <c r="V63" s="11">
        <v>-496367</v>
      </c>
      <c r="W63" s="11">
        <v>-491534</v>
      </c>
      <c r="X63" s="11">
        <v>-493773</v>
      </c>
      <c r="Y63" s="11">
        <v>-485009</v>
      </c>
      <c r="Z63" s="11">
        <v>-473151</v>
      </c>
      <c r="AA63" s="11">
        <v>-491221</v>
      </c>
      <c r="AB63" s="11">
        <v>-479608</v>
      </c>
      <c r="AC63" s="11">
        <v>-644948</v>
      </c>
    </row>
    <row r="64" spans="4:29" x14ac:dyDescent="0.3">
      <c r="D64" s="2">
        <v>115</v>
      </c>
      <c r="E64" s="4">
        <f t="shared" si="0"/>
        <v>-57.697700000000005</v>
      </c>
      <c r="F64" s="4">
        <f t="shared" si="1"/>
        <v>-50.163499999999999</v>
      </c>
      <c r="G64" s="4">
        <f t="shared" si="2"/>
        <v>-50.225999999999999</v>
      </c>
      <c r="H64" s="4">
        <f t="shared" si="3"/>
        <v>-49.236800000000002</v>
      </c>
      <c r="I64" s="4">
        <f t="shared" si="4"/>
        <v>-47.973500000000001</v>
      </c>
      <c r="J64" s="4">
        <f t="shared" si="5"/>
        <v>-50.0608</v>
      </c>
      <c r="K64" s="4">
        <f t="shared" si="8"/>
        <v>-48.556400000000004</v>
      </c>
      <c r="L64" s="4">
        <f t="shared" si="6"/>
        <v>-60.633400000000002</v>
      </c>
      <c r="M64" s="4"/>
      <c r="N64" s="4"/>
      <c r="P64" s="4">
        <f t="shared" si="7"/>
        <v>-51.818512499999997</v>
      </c>
      <c r="Q64" s="2"/>
      <c r="R64" s="7"/>
      <c r="S64" s="10">
        <v>295</v>
      </c>
      <c r="T64" s="5">
        <v>-414626</v>
      </c>
      <c r="U64" s="2">
        <v>60</v>
      </c>
      <c r="V64" s="11">
        <v>-576977</v>
      </c>
      <c r="W64" s="11">
        <v>-501635</v>
      </c>
      <c r="X64" s="11">
        <v>-502260</v>
      </c>
      <c r="Y64" s="11">
        <v>-492368</v>
      </c>
      <c r="Z64" s="11">
        <v>-479735</v>
      </c>
      <c r="AA64" s="11">
        <v>-500608</v>
      </c>
      <c r="AB64" s="11">
        <v>-485564</v>
      </c>
      <c r="AC64" s="11">
        <v>-606334</v>
      </c>
    </row>
    <row r="65" spans="4:29" x14ac:dyDescent="0.3">
      <c r="D65" s="2">
        <v>120</v>
      </c>
      <c r="E65" s="4">
        <f t="shared" si="0"/>
        <v>-52.996200000000002</v>
      </c>
      <c r="F65" s="4">
        <f t="shared" si="1"/>
        <v>-56.3658</v>
      </c>
      <c r="G65" s="4">
        <f t="shared" si="2"/>
        <v>-56.354400000000005</v>
      </c>
      <c r="H65" s="4">
        <f t="shared" si="3"/>
        <v>-55.4255</v>
      </c>
      <c r="I65" s="4">
        <f t="shared" si="4"/>
        <v>-53.467800000000004</v>
      </c>
      <c r="J65" s="4">
        <f t="shared" si="5"/>
        <v>-58.170900000000003</v>
      </c>
      <c r="K65" s="4">
        <f t="shared" si="8"/>
        <v>-54.786300000000004</v>
      </c>
      <c r="L65" s="4">
        <f t="shared" si="6"/>
        <v>-64.179200000000009</v>
      </c>
      <c r="M65" s="4"/>
      <c r="N65" s="4"/>
      <c r="P65" s="4">
        <f t="shared" si="7"/>
        <v>-56.468262499999994</v>
      </c>
      <c r="Q65" s="2"/>
      <c r="R65" s="7"/>
      <c r="S65" s="10">
        <v>300</v>
      </c>
      <c r="T65" s="5">
        <v>-389172</v>
      </c>
      <c r="U65" s="2">
        <v>61</v>
      </c>
      <c r="V65" s="11">
        <v>-529962</v>
      </c>
      <c r="W65" s="11">
        <v>-563658</v>
      </c>
      <c r="X65" s="11">
        <v>-563544</v>
      </c>
      <c r="Y65" s="11">
        <v>-554255</v>
      </c>
      <c r="Z65" s="11">
        <v>-534678</v>
      </c>
      <c r="AA65" s="11">
        <v>-581709</v>
      </c>
      <c r="AB65" s="11">
        <v>-547863</v>
      </c>
      <c r="AC65" s="11">
        <v>-641792</v>
      </c>
    </row>
    <row r="66" spans="4:29" x14ac:dyDescent="0.3">
      <c r="D66" s="2">
        <v>125</v>
      </c>
      <c r="E66" s="4">
        <f t="shared" si="0"/>
        <v>-41.028800000000004</v>
      </c>
      <c r="F66" s="4">
        <f t="shared" si="1"/>
        <v>-52.6541</v>
      </c>
      <c r="G66" s="4">
        <f t="shared" si="2"/>
        <v>-52.729900000000001</v>
      </c>
      <c r="H66" s="4">
        <f t="shared" si="3"/>
        <v>-55.084700000000005</v>
      </c>
      <c r="I66" s="4">
        <f t="shared" si="4"/>
        <v>-57.562200000000004</v>
      </c>
      <c r="J66" s="4">
        <f t="shared" si="5"/>
        <v>-51.1312</v>
      </c>
      <c r="K66" s="4">
        <f t="shared" si="8"/>
        <v>-54.922499999999999</v>
      </c>
      <c r="L66" s="4">
        <f t="shared" si="6"/>
        <v>-51.072099999999999</v>
      </c>
      <c r="M66" s="4"/>
      <c r="N66" s="4"/>
      <c r="P66" s="4">
        <f t="shared" si="7"/>
        <v>-52.023187499999999</v>
      </c>
      <c r="Q66" s="2"/>
      <c r="R66" s="7"/>
      <c r="S66" s="10">
        <v>305</v>
      </c>
      <c r="T66" s="5">
        <v>-388960</v>
      </c>
      <c r="U66" s="2">
        <v>62</v>
      </c>
      <c r="V66" s="11">
        <v>-410288</v>
      </c>
      <c r="W66" s="11">
        <v>-526541</v>
      </c>
      <c r="X66" s="11">
        <v>-527299</v>
      </c>
      <c r="Y66" s="11">
        <v>-550847</v>
      </c>
      <c r="Z66" s="11">
        <v>-575622</v>
      </c>
      <c r="AA66" s="11">
        <v>-511312</v>
      </c>
      <c r="AB66" s="11">
        <v>-549225</v>
      </c>
      <c r="AC66" s="11">
        <v>-510721</v>
      </c>
    </row>
    <row r="67" spans="4:29" x14ac:dyDescent="0.3">
      <c r="D67" s="2">
        <v>130</v>
      </c>
      <c r="E67" s="4">
        <f t="shared" si="0"/>
        <v>-34.726199999999999</v>
      </c>
      <c r="F67" s="4">
        <f t="shared" si="1"/>
        <v>-41.317500000000003</v>
      </c>
      <c r="G67" s="4">
        <f t="shared" si="2"/>
        <v>-41.403200000000005</v>
      </c>
      <c r="H67" s="4">
        <f t="shared" si="3"/>
        <v>-41.467200000000005</v>
      </c>
      <c r="I67" s="4">
        <f t="shared" si="4"/>
        <v>-42.122399999999999</v>
      </c>
      <c r="J67" s="4">
        <f t="shared" si="5"/>
        <v>-40.005400000000002</v>
      </c>
      <c r="K67" s="4">
        <f t="shared" si="8"/>
        <v>-41.248699999999999</v>
      </c>
      <c r="L67" s="4">
        <f t="shared" si="6"/>
        <v>-41.889299999999999</v>
      </c>
      <c r="M67" s="4"/>
      <c r="N67" s="4"/>
      <c r="P67" s="4">
        <f t="shared" si="7"/>
        <v>-40.522487500000004</v>
      </c>
      <c r="Q67" s="2"/>
      <c r="R67" s="7"/>
      <c r="S67" s="10">
        <v>310</v>
      </c>
      <c r="T67" s="5">
        <v>-388511</v>
      </c>
      <c r="U67" s="2">
        <v>63</v>
      </c>
      <c r="V67" s="11">
        <v>-347262</v>
      </c>
      <c r="W67" s="11">
        <v>-413175</v>
      </c>
      <c r="X67" s="11">
        <v>-414032</v>
      </c>
      <c r="Y67" s="11">
        <v>-414672</v>
      </c>
      <c r="Z67" s="11">
        <v>-421224</v>
      </c>
      <c r="AA67" s="11">
        <v>-400054</v>
      </c>
      <c r="AB67" s="11">
        <v>-412487</v>
      </c>
      <c r="AC67" s="11">
        <v>-418893</v>
      </c>
    </row>
    <row r="68" spans="4:29" x14ac:dyDescent="0.3">
      <c r="D68" s="2">
        <v>135</v>
      </c>
      <c r="E68" s="4">
        <f t="shared" si="0"/>
        <v>-30.2636</v>
      </c>
      <c r="F68" s="4">
        <f t="shared" si="1"/>
        <v>-35.101500000000001</v>
      </c>
      <c r="G68" s="4">
        <f t="shared" si="2"/>
        <v>-35.0642</v>
      </c>
      <c r="H68" s="4">
        <f t="shared" si="3"/>
        <v>-35.000900000000001</v>
      </c>
      <c r="I68" s="4">
        <f t="shared" si="4"/>
        <v>-35.415199999999999</v>
      </c>
      <c r="J68" s="4">
        <f t="shared" si="5"/>
        <v>-33.761299999999999</v>
      </c>
      <c r="K68" s="4">
        <f t="shared" si="8"/>
        <v>-34.7288</v>
      </c>
      <c r="L68" s="4">
        <f t="shared" si="6"/>
        <v>-35.616100000000003</v>
      </c>
      <c r="M68" s="4"/>
      <c r="N68" s="4"/>
      <c r="P68" s="4">
        <f t="shared" si="7"/>
        <v>-34.368950000000005</v>
      </c>
      <c r="Q68" s="2"/>
      <c r="R68" s="7"/>
      <c r="S68" s="10">
        <v>315</v>
      </c>
      <c r="T68" s="5">
        <v>-394767</v>
      </c>
      <c r="U68" s="2">
        <v>64</v>
      </c>
      <c r="V68" s="11">
        <v>-302636</v>
      </c>
      <c r="W68" s="11">
        <v>-351015</v>
      </c>
      <c r="X68" s="11">
        <v>-350642</v>
      </c>
      <c r="Y68" s="11">
        <v>-350009</v>
      </c>
      <c r="Z68" s="11">
        <v>-354152</v>
      </c>
      <c r="AA68" s="11">
        <v>-337613</v>
      </c>
      <c r="AB68" s="11">
        <v>-347288</v>
      </c>
      <c r="AC68" s="11">
        <v>-356161</v>
      </c>
    </row>
    <row r="69" spans="4:29" x14ac:dyDescent="0.3">
      <c r="D69" s="2">
        <v>140</v>
      </c>
      <c r="E69" s="4">
        <f t="shared" si="0"/>
        <v>-26.860200000000003</v>
      </c>
      <c r="F69" s="4">
        <f t="shared" si="1"/>
        <v>-30.5976</v>
      </c>
      <c r="G69" s="4">
        <f t="shared" si="2"/>
        <v>-30.453100000000003</v>
      </c>
      <c r="H69" s="4">
        <f t="shared" si="3"/>
        <v>-30.502600000000001</v>
      </c>
      <c r="I69" s="4">
        <f t="shared" si="4"/>
        <v>-30.729400000000002</v>
      </c>
      <c r="J69" s="4">
        <f t="shared" si="5"/>
        <v>-29.337100000000003</v>
      </c>
      <c r="K69" s="4">
        <f t="shared" si="8"/>
        <v>-30.145300000000002</v>
      </c>
      <c r="L69" s="4">
        <f t="shared" si="6"/>
        <v>-31.029500000000002</v>
      </c>
      <c r="M69" s="4"/>
      <c r="N69" s="4"/>
      <c r="P69" s="4">
        <f t="shared" si="7"/>
        <v>-29.956850000000003</v>
      </c>
      <c r="Q69" s="2"/>
      <c r="R69" s="7"/>
      <c r="S69" s="10">
        <v>320</v>
      </c>
      <c r="T69" s="5">
        <v>-397018</v>
      </c>
      <c r="U69" s="2">
        <v>65</v>
      </c>
      <c r="V69" s="11">
        <v>-268602</v>
      </c>
      <c r="W69" s="11">
        <v>-305976</v>
      </c>
      <c r="X69" s="11">
        <v>-304531</v>
      </c>
      <c r="Y69" s="11">
        <v>-305026</v>
      </c>
      <c r="Z69" s="11">
        <v>-307294</v>
      </c>
      <c r="AA69" s="11">
        <v>-293371</v>
      </c>
      <c r="AB69" s="11">
        <v>-301453</v>
      </c>
      <c r="AC69" s="11">
        <v>-310295</v>
      </c>
    </row>
    <row r="70" spans="4:29" x14ac:dyDescent="0.3">
      <c r="D70" s="2">
        <v>145</v>
      </c>
      <c r="E70" s="4">
        <f t="shared" ref="E70:E77" si="9">V70*$B$4</f>
        <v>-24.271700000000003</v>
      </c>
      <c r="F70" s="4">
        <f t="shared" ref="F70:F77" si="10">W70*$B$4</f>
        <v>-27.215300000000003</v>
      </c>
      <c r="G70" s="4">
        <f t="shared" ref="G70:G77" si="11">X70*$B$4</f>
        <v>-27.110100000000003</v>
      </c>
      <c r="H70" s="4">
        <f t="shared" ref="H70:H77" si="12">Y70*$B$4</f>
        <v>-27.213100000000001</v>
      </c>
      <c r="I70" s="4">
        <f t="shared" ref="I70:I77" si="13">Z70*$B$4</f>
        <v>-27.286100000000001</v>
      </c>
      <c r="J70" s="4">
        <f t="shared" ref="J70:J77" si="14">AA70*$B$4</f>
        <v>-26.0822</v>
      </c>
      <c r="K70" s="4">
        <f t="shared" si="8"/>
        <v>-26.6646</v>
      </c>
      <c r="L70" s="4">
        <f t="shared" ref="L70:L77" si="15">AC70*$B$4</f>
        <v>-27.402800000000003</v>
      </c>
      <c r="M70" s="4"/>
      <c r="N70" s="4"/>
      <c r="P70" s="4">
        <f t="shared" ref="P70:P77" si="16">AVERAGE(E70:L70)</f>
        <v>-26.655737500000004</v>
      </c>
      <c r="Q70" s="2"/>
      <c r="R70" s="7"/>
      <c r="S70" s="10">
        <v>325</v>
      </c>
      <c r="T70" s="5">
        <v>-393206</v>
      </c>
      <c r="U70" s="2">
        <v>66</v>
      </c>
      <c r="V70" s="11">
        <v>-242717</v>
      </c>
      <c r="W70" s="11">
        <v>-272153</v>
      </c>
      <c r="X70" s="11">
        <v>-271101</v>
      </c>
      <c r="Y70" s="11">
        <v>-272131</v>
      </c>
      <c r="Z70" s="11">
        <v>-272861</v>
      </c>
      <c r="AA70" s="11">
        <v>-260822</v>
      </c>
      <c r="AB70" s="11">
        <v>-266646</v>
      </c>
      <c r="AC70" s="11">
        <v>-274028</v>
      </c>
    </row>
    <row r="71" spans="4:29" x14ac:dyDescent="0.3">
      <c r="D71" s="2">
        <v>150</v>
      </c>
      <c r="E71" s="4">
        <f t="shared" si="9"/>
        <v>-22.295400000000001</v>
      </c>
      <c r="F71" s="4">
        <f t="shared" si="10"/>
        <v>-24.604800000000001</v>
      </c>
      <c r="G71" s="4">
        <f t="shared" si="11"/>
        <v>-24.382900000000003</v>
      </c>
      <c r="H71" s="4">
        <f t="shared" si="12"/>
        <v>-24.563300000000002</v>
      </c>
      <c r="I71" s="4">
        <f t="shared" si="13"/>
        <v>-24.6479</v>
      </c>
      <c r="J71" s="4">
        <f t="shared" si="14"/>
        <v>-23.496200000000002</v>
      </c>
      <c r="K71" s="4">
        <f t="shared" ref="K71:K77" si="17">AB71*$B$4</f>
        <v>-24.153300000000002</v>
      </c>
      <c r="L71" s="4">
        <f t="shared" si="15"/>
        <v>-24.564400000000003</v>
      </c>
      <c r="M71" s="4"/>
      <c r="N71" s="4"/>
      <c r="P71" s="4">
        <f t="shared" si="16"/>
        <v>-24.088525000000001</v>
      </c>
      <c r="Q71" s="2"/>
      <c r="R71" s="7"/>
      <c r="S71" s="10">
        <v>330</v>
      </c>
      <c r="T71" s="5">
        <v>-373802</v>
      </c>
      <c r="U71" s="2">
        <v>67</v>
      </c>
      <c r="V71" s="11">
        <v>-222954</v>
      </c>
      <c r="W71" s="11">
        <v>-246048</v>
      </c>
      <c r="X71" s="11">
        <v>-243829</v>
      </c>
      <c r="Y71" s="11">
        <v>-245633</v>
      </c>
      <c r="Z71" s="11">
        <v>-246479</v>
      </c>
      <c r="AA71" s="11">
        <v>-234962</v>
      </c>
      <c r="AB71" s="11">
        <v>-241533</v>
      </c>
      <c r="AC71" s="11">
        <v>-245644</v>
      </c>
    </row>
    <row r="72" spans="4:29" x14ac:dyDescent="0.3">
      <c r="D72" s="2">
        <v>155</v>
      </c>
      <c r="E72" s="4">
        <f t="shared" si="9"/>
        <v>-20.756500000000003</v>
      </c>
      <c r="F72" s="4">
        <f t="shared" si="10"/>
        <v>-22.536200000000001</v>
      </c>
      <c r="G72" s="4">
        <f t="shared" si="11"/>
        <v>-22.3659</v>
      </c>
      <c r="H72" s="4">
        <f t="shared" si="12"/>
        <v>-22.617700000000003</v>
      </c>
      <c r="I72" s="4">
        <f t="shared" si="13"/>
        <v>-22.580100000000002</v>
      </c>
      <c r="J72" s="4">
        <f t="shared" si="14"/>
        <v>-21.482900000000001</v>
      </c>
      <c r="K72" s="4">
        <f t="shared" si="17"/>
        <v>-22.2151</v>
      </c>
      <c r="L72" s="4">
        <f t="shared" si="15"/>
        <v>-22.3383</v>
      </c>
      <c r="M72" s="4"/>
      <c r="N72" s="4"/>
      <c r="P72" s="4">
        <f t="shared" si="16"/>
        <v>-22.111587500000002</v>
      </c>
      <c r="Q72" s="2"/>
      <c r="R72" s="7"/>
      <c r="S72" s="10">
        <v>335</v>
      </c>
      <c r="T72" s="5">
        <v>-365234</v>
      </c>
      <c r="U72" s="2">
        <v>68</v>
      </c>
      <c r="V72" s="11">
        <v>-207565</v>
      </c>
      <c r="W72" s="11">
        <v>-225362</v>
      </c>
      <c r="X72" s="11">
        <v>-223659</v>
      </c>
      <c r="Y72" s="11">
        <v>-226177</v>
      </c>
      <c r="Z72" s="11">
        <v>-225801</v>
      </c>
      <c r="AA72" s="11">
        <v>-214829</v>
      </c>
      <c r="AB72" s="11">
        <v>-222151</v>
      </c>
      <c r="AC72" s="11">
        <v>-223383</v>
      </c>
    </row>
    <row r="73" spans="4:29" x14ac:dyDescent="0.3">
      <c r="D73" s="2">
        <v>160</v>
      </c>
      <c r="E73" s="4">
        <f t="shared" si="9"/>
        <v>-19.7288</v>
      </c>
      <c r="F73" s="4">
        <f t="shared" si="10"/>
        <v>-21.016400000000001</v>
      </c>
      <c r="G73" s="4">
        <f t="shared" si="11"/>
        <v>-20.785700000000002</v>
      </c>
      <c r="H73" s="4">
        <f t="shared" si="12"/>
        <v>-21.060400000000001</v>
      </c>
      <c r="I73" s="4">
        <f t="shared" si="13"/>
        <v>-21.0869</v>
      </c>
      <c r="J73" s="4">
        <f t="shared" si="14"/>
        <v>-20.043400000000002</v>
      </c>
      <c r="K73" s="4">
        <f t="shared" si="17"/>
        <v>-20.642700000000001</v>
      </c>
      <c r="L73" s="4">
        <f t="shared" si="15"/>
        <v>-20.633700000000001</v>
      </c>
      <c r="M73" s="4"/>
      <c r="N73" s="4"/>
      <c r="P73" s="4">
        <f t="shared" si="16"/>
        <v>-20.624750000000002</v>
      </c>
      <c r="Q73" s="2"/>
      <c r="R73" s="7"/>
      <c r="S73" s="10">
        <v>340</v>
      </c>
      <c r="T73" s="5">
        <v>-358212</v>
      </c>
      <c r="U73" s="2">
        <v>69</v>
      </c>
      <c r="V73" s="11">
        <v>-197288</v>
      </c>
      <c r="W73" s="11">
        <v>-210164</v>
      </c>
      <c r="X73" s="11">
        <v>-207857</v>
      </c>
      <c r="Y73" s="11">
        <v>-210604</v>
      </c>
      <c r="Z73" s="11">
        <v>-210869</v>
      </c>
      <c r="AA73" s="11">
        <v>-200434</v>
      </c>
      <c r="AB73" s="11">
        <v>-206427</v>
      </c>
      <c r="AC73" s="11">
        <v>-206337</v>
      </c>
    </row>
    <row r="74" spans="4:29" x14ac:dyDescent="0.3">
      <c r="D74" s="2">
        <v>165</v>
      </c>
      <c r="E74" s="4">
        <f t="shared" si="9"/>
        <v>-18.990000000000002</v>
      </c>
      <c r="F74" s="4">
        <f t="shared" si="10"/>
        <v>-19.920100000000001</v>
      </c>
      <c r="G74" s="4">
        <f t="shared" si="11"/>
        <v>-19.770600000000002</v>
      </c>
      <c r="H74" s="4">
        <f t="shared" si="12"/>
        <v>-19.973200000000002</v>
      </c>
      <c r="I74" s="4">
        <f t="shared" si="13"/>
        <v>-19.984100000000002</v>
      </c>
      <c r="J74" s="4">
        <f t="shared" si="14"/>
        <v>-18.955000000000002</v>
      </c>
      <c r="K74" s="4">
        <f t="shared" si="17"/>
        <v>-19.583000000000002</v>
      </c>
      <c r="L74" s="4">
        <f t="shared" si="15"/>
        <v>-19.2333</v>
      </c>
      <c r="M74" s="4"/>
      <c r="N74" s="4"/>
      <c r="P74" s="4">
        <f t="shared" si="16"/>
        <v>-19.551162500000004</v>
      </c>
      <c r="Q74" s="2"/>
      <c r="R74" s="7"/>
      <c r="S74" s="10">
        <v>345</v>
      </c>
      <c r="T74" s="5">
        <v>-355512</v>
      </c>
      <c r="U74" s="2">
        <v>70</v>
      </c>
      <c r="V74" s="11">
        <v>-189900</v>
      </c>
      <c r="W74" s="11">
        <v>-199201</v>
      </c>
      <c r="X74" s="11">
        <v>-197706</v>
      </c>
      <c r="Y74" s="11">
        <v>-199732</v>
      </c>
      <c r="Z74" s="11">
        <v>-199841</v>
      </c>
      <c r="AA74" s="11">
        <v>-189550</v>
      </c>
      <c r="AB74" s="11">
        <v>-195830</v>
      </c>
      <c r="AC74" s="11">
        <v>-192333</v>
      </c>
    </row>
    <row r="75" spans="4:29" x14ac:dyDescent="0.3">
      <c r="D75" s="2">
        <v>170</v>
      </c>
      <c r="E75" s="4">
        <f t="shared" si="9"/>
        <v>-18.645500000000002</v>
      </c>
      <c r="F75" s="4">
        <f t="shared" si="10"/>
        <v>-19.121700000000001</v>
      </c>
      <c r="G75" s="4">
        <f t="shared" si="11"/>
        <v>-19.0047</v>
      </c>
      <c r="H75" s="4">
        <f t="shared" si="12"/>
        <v>-19.209600000000002</v>
      </c>
      <c r="I75" s="4">
        <f t="shared" si="13"/>
        <v>-19.331200000000003</v>
      </c>
      <c r="J75" s="4">
        <f t="shared" si="14"/>
        <v>-18.288399999999999</v>
      </c>
      <c r="K75" s="4">
        <f t="shared" si="17"/>
        <v>-18.876000000000001</v>
      </c>
      <c r="L75" s="4">
        <f t="shared" si="15"/>
        <v>-18.3596</v>
      </c>
      <c r="M75" s="4"/>
      <c r="N75" s="4"/>
      <c r="P75" s="4">
        <f t="shared" si="16"/>
        <v>-18.854587500000001</v>
      </c>
      <c r="Q75" s="2"/>
      <c r="R75" s="7"/>
      <c r="S75" s="10">
        <v>350</v>
      </c>
      <c r="T75" s="5">
        <v>-354968</v>
      </c>
      <c r="U75" s="2">
        <v>71</v>
      </c>
      <c r="V75" s="11">
        <v>-186455</v>
      </c>
      <c r="W75" s="11">
        <v>-191217</v>
      </c>
      <c r="X75" s="11">
        <v>-190047</v>
      </c>
      <c r="Y75" s="11">
        <v>-192096</v>
      </c>
      <c r="Z75" s="11">
        <v>-193312</v>
      </c>
      <c r="AA75" s="11">
        <v>-182884</v>
      </c>
      <c r="AB75" s="11">
        <v>-188760</v>
      </c>
      <c r="AC75" s="11">
        <v>-183596</v>
      </c>
    </row>
    <row r="76" spans="4:29" x14ac:dyDescent="0.3">
      <c r="D76" s="2">
        <v>175</v>
      </c>
      <c r="E76" s="4">
        <f t="shared" si="9"/>
        <v>-18.6187</v>
      </c>
      <c r="F76" s="4">
        <f t="shared" si="10"/>
        <v>-18.828900000000001</v>
      </c>
      <c r="G76" s="4">
        <f t="shared" si="11"/>
        <v>-18.641300000000001</v>
      </c>
      <c r="H76" s="4">
        <f t="shared" si="12"/>
        <v>-18.913500000000003</v>
      </c>
      <c r="I76" s="4">
        <f t="shared" si="13"/>
        <v>-18.9298</v>
      </c>
      <c r="J76" s="4">
        <f t="shared" si="14"/>
        <v>-17.992000000000001</v>
      </c>
      <c r="K76" s="4">
        <f t="shared" si="17"/>
        <v>-18.5412</v>
      </c>
      <c r="L76" s="4">
        <f t="shared" si="15"/>
        <v>-17.692800000000002</v>
      </c>
      <c r="M76" s="4"/>
      <c r="N76" s="4"/>
      <c r="P76" s="4">
        <f t="shared" si="16"/>
        <v>-18.519775000000003</v>
      </c>
      <c r="Q76" s="2"/>
      <c r="R76" s="7"/>
      <c r="S76" s="10">
        <v>355</v>
      </c>
      <c r="T76" s="5">
        <v>-359373</v>
      </c>
      <c r="U76" s="2">
        <v>72</v>
      </c>
      <c r="V76" s="11">
        <v>-186187</v>
      </c>
      <c r="W76" s="11">
        <v>-188289</v>
      </c>
      <c r="X76" s="11">
        <v>-186413</v>
      </c>
      <c r="Y76" s="11">
        <v>-189135</v>
      </c>
      <c r="Z76" s="11">
        <v>-189298</v>
      </c>
      <c r="AA76" s="11">
        <v>-179920</v>
      </c>
      <c r="AB76" s="11">
        <v>-185412</v>
      </c>
      <c r="AC76" s="11">
        <v>-176928</v>
      </c>
    </row>
    <row r="77" spans="4:29" x14ac:dyDescent="0.3">
      <c r="D77" s="2">
        <v>180</v>
      </c>
      <c r="E77" s="4">
        <f t="shared" si="9"/>
        <v>-19.1921</v>
      </c>
      <c r="F77" s="4">
        <f t="shared" si="10"/>
        <v>-18.863</v>
      </c>
      <c r="G77" s="4">
        <f t="shared" si="11"/>
        <v>-19.110500000000002</v>
      </c>
      <c r="H77" s="4">
        <f t="shared" si="12"/>
        <v>-18.871100000000002</v>
      </c>
      <c r="I77" s="4">
        <f t="shared" si="13"/>
        <v>-19.145800000000001</v>
      </c>
      <c r="J77" s="4">
        <f t="shared" si="14"/>
        <v>-18.6479</v>
      </c>
      <c r="K77" s="4">
        <f t="shared" si="17"/>
        <v>-18.699200000000001</v>
      </c>
      <c r="L77" s="4">
        <f t="shared" si="15"/>
        <v>-17.849800000000002</v>
      </c>
      <c r="M77" s="4"/>
      <c r="N77" s="4"/>
      <c r="P77" s="4">
        <f t="shared" si="16"/>
        <v>-18.797424999999997</v>
      </c>
      <c r="Q77" s="2"/>
      <c r="R77" s="7"/>
      <c r="S77" s="10">
        <v>360</v>
      </c>
      <c r="T77" s="5">
        <v>-364390</v>
      </c>
      <c r="U77" s="2">
        <v>73</v>
      </c>
      <c r="V77" s="11">
        <v>-191921</v>
      </c>
      <c r="W77" s="11">
        <v>-188630</v>
      </c>
      <c r="X77" s="11">
        <v>-191105</v>
      </c>
      <c r="Y77" s="11">
        <v>-188711</v>
      </c>
      <c r="Z77" s="11">
        <v>-191458</v>
      </c>
      <c r="AA77" s="11">
        <v>-186479</v>
      </c>
      <c r="AB77" s="11">
        <v>-186992</v>
      </c>
      <c r="AC77" s="11">
        <v>-178498</v>
      </c>
    </row>
    <row r="78" spans="4:29" x14ac:dyDescent="0.3">
      <c r="Q78" s="6"/>
      <c r="R78" s="7"/>
      <c r="T78" s="7"/>
      <c r="U78" s="7"/>
    </row>
    <row r="79" spans="4:29" x14ac:dyDescent="0.3">
      <c r="Q79" s="6"/>
      <c r="R79" s="7"/>
      <c r="T79" s="7"/>
      <c r="U79" s="7"/>
    </row>
  </sheetData>
  <mergeCells count="2">
    <mergeCell ref="E2:N2"/>
    <mergeCell ref="E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2025-05-02T15:16:35Z</dcterms:created>
  <dcterms:modified xsi:type="dcterms:W3CDTF">2025-07-26T17:05:04Z</dcterms:modified>
</cp:coreProperties>
</file>