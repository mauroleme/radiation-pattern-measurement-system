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AURO\Desktop\Bateria de ensaios 22-08-2025\"/>
    </mc:Choice>
  </mc:AlternateContent>
  <xr:revisionPtr revIDLastSave="0" documentId="13_ncr:1_{76E37D99-DC71-42CE-828D-1889F9FCA29C}" xr6:coauthVersionLast="47" xr6:coauthVersionMax="47" xr10:uidLastSave="{00000000-0000-0000-0000-000000000000}"/>
  <bookViews>
    <workbookView xWindow="-108" yWindow="-108" windowWidth="23256" windowHeight="12456" xr2:uid="{1ECF37D5-4A0E-407A-B1A8-81C9D96AE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P54" i="1" s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N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" i="1"/>
  <c r="K6" i="1"/>
  <c r="I14" i="1"/>
  <c r="I9" i="1"/>
  <c r="I7" i="1"/>
  <c r="I8" i="1"/>
  <c r="I10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E8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F6" i="1"/>
  <c r="G6" i="1"/>
  <c r="H6" i="1"/>
  <c r="I6" i="1"/>
  <c r="J6" i="1"/>
  <c r="E6" i="1"/>
  <c r="P6" i="1" l="1"/>
</calcChain>
</file>

<file path=xl/sharedStrings.xml><?xml version="1.0" encoding="utf-8"?>
<sst xmlns="http://schemas.openxmlformats.org/spreadsheetml/2006/main" count="7" uniqueCount="6">
  <si>
    <t>theta degree</t>
  </si>
  <si>
    <t>AVERAGE</t>
  </si>
  <si>
    <t>ordem</t>
  </si>
  <si>
    <t>in dBm</t>
  </si>
  <si>
    <t>MEASUREMENT - WITH 868 MHz FILTER - BALUN - IMPEDANCE MATCHING NETWORK</t>
  </si>
  <si>
    <t>melhores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</si>
</sst>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7" formatCode="#,##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E86C-2A3C-4DA5-A2FF-BF6E3AB6F082}">
  <dimension ref="A3:AE80"/>
  <sheetViews>
    <sheetView tabSelected="1" workbookViewId="0">
      <selection activeCell="E4" sqref="E4:N4"/>
    </sheetView>
  </sheetViews>
  <sheetFormatPr defaultRowHeight="14.4" x14ac:dyDescent="0.3"/>
  <cols>
    <col min="1" max="1" width="3.5546875" style="2" customWidth="1"/>
    <col min="2" max="2" width="8.21875" style="2" bestFit="1" customWidth="1"/>
    <col min="3" max="3" width="3.21875" style="2" customWidth="1"/>
    <col min="4" max="4" width="11.77734375" style="2" customWidth="1"/>
    <col min="5" max="5" width="9.5546875" style="2" customWidth="1"/>
    <col min="6" max="14" width="8.88671875" style="2"/>
    <col min="15" max="15" width="5" style="2" customWidth="1"/>
    <col min="16" max="16" width="8.88671875" style="2"/>
    <col min="17" max="17" width="8.88671875" style="4"/>
    <col min="18" max="18" width="3.77734375" style="2" customWidth="1"/>
    <col min="19" max="19" width="11" style="8" bestFit="1" customWidth="1"/>
    <col min="20" max="20" width="9.88671875" style="2" customWidth="1"/>
    <col min="21" max="21" width="8.21875" style="2" bestFit="1" customWidth="1"/>
    <col min="22" max="16384" width="8.88671875" style="2"/>
  </cols>
  <sheetData>
    <row r="3" spans="1:31" ht="28.8" x14ac:dyDescent="0.3">
      <c r="A3" s="1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T3" s="14" t="s">
        <v>5</v>
      </c>
      <c r="U3" s="7"/>
    </row>
    <row r="4" spans="1:31" ht="28.8" x14ac:dyDescent="0.3">
      <c r="B4" s="1"/>
      <c r="E4" s="11" t="s">
        <v>3</v>
      </c>
      <c r="F4" s="11"/>
      <c r="G4" s="11"/>
      <c r="H4" s="11"/>
      <c r="I4" s="11"/>
      <c r="J4" s="11"/>
      <c r="K4" s="11"/>
      <c r="L4" s="11"/>
      <c r="M4" s="11"/>
      <c r="N4" s="11"/>
      <c r="Q4" s="6"/>
      <c r="R4" s="7"/>
      <c r="T4" s="7"/>
      <c r="U4" s="7"/>
      <c r="X4" s="12"/>
      <c r="Z4" s="12"/>
      <c r="AA4" s="12"/>
      <c r="AB4" s="12"/>
      <c r="AC4" s="12"/>
      <c r="AD4" s="12"/>
      <c r="AE4" s="12"/>
    </row>
    <row r="5" spans="1:31" x14ac:dyDescent="0.3">
      <c r="B5" s="2">
        <v>1E-4</v>
      </c>
      <c r="D5" s="16" t="s">
        <v>0</v>
      </c>
      <c r="E5" s="17">
        <v>1</v>
      </c>
      <c r="F5" s="17">
        <v>2</v>
      </c>
      <c r="G5" s="17">
        <v>3</v>
      </c>
      <c r="H5" s="17">
        <v>4</v>
      </c>
      <c r="I5" s="17">
        <v>5</v>
      </c>
      <c r="J5" s="17">
        <v>6</v>
      </c>
      <c r="K5" s="17">
        <v>7</v>
      </c>
      <c r="L5" s="17">
        <v>8</v>
      </c>
      <c r="M5" s="17">
        <v>9</v>
      </c>
      <c r="N5" s="17">
        <v>10</v>
      </c>
      <c r="P5" s="3" t="s">
        <v>1</v>
      </c>
      <c r="Q5" s="6"/>
      <c r="R5" s="7"/>
      <c r="S5" s="8" t="s">
        <v>0</v>
      </c>
      <c r="T5" s="7"/>
      <c r="U5" s="15" t="s">
        <v>2</v>
      </c>
      <c r="V5" s="15">
        <v>1</v>
      </c>
      <c r="W5" s="15">
        <v>2</v>
      </c>
      <c r="X5" s="15">
        <v>3</v>
      </c>
      <c r="Y5" s="15">
        <v>4</v>
      </c>
      <c r="Z5" s="15">
        <v>5</v>
      </c>
      <c r="AA5" s="15">
        <v>6</v>
      </c>
      <c r="AB5" s="15">
        <v>7</v>
      </c>
      <c r="AC5" s="15">
        <v>8</v>
      </c>
      <c r="AD5" s="15">
        <v>9</v>
      </c>
      <c r="AE5" s="15">
        <v>10</v>
      </c>
    </row>
    <row r="6" spans="1:31" x14ac:dyDescent="0.3">
      <c r="D6" s="2">
        <v>-180</v>
      </c>
      <c r="E6" s="4">
        <f t="shared" ref="E6:L6" si="0">V6*$B$5</f>
        <v>-20.3812</v>
      </c>
      <c r="F6" s="4">
        <f t="shared" si="0"/>
        <v>-20.983499999999999</v>
      </c>
      <c r="G6" s="4">
        <f t="shared" si="0"/>
        <v>-21.307500000000001</v>
      </c>
      <c r="H6" s="4">
        <f t="shared" si="0"/>
        <v>-21.026400000000002</v>
      </c>
      <c r="I6" s="4">
        <f t="shared" si="0"/>
        <v>-21.923000000000002</v>
      </c>
      <c r="J6" s="4">
        <f t="shared" si="0"/>
        <v>-22.0992</v>
      </c>
      <c r="K6" s="4">
        <f t="shared" si="0"/>
        <v>-20.746200000000002</v>
      </c>
      <c r="L6" s="4">
        <f t="shared" si="0"/>
        <v>-20.710900000000002</v>
      </c>
      <c r="M6" s="4">
        <f t="shared" ref="M6:N69" si="1">AD6*$B$5</f>
        <v>-21.816700000000001</v>
      </c>
      <c r="N6" s="4">
        <f t="shared" si="1"/>
        <v>-20.980499999999999</v>
      </c>
      <c r="P6" s="4">
        <f>AVERAGE(E6:N6)</f>
        <v>-21.197510000000001</v>
      </c>
      <c r="Q6" s="13"/>
      <c r="R6" s="7"/>
      <c r="S6" s="9">
        <v>0</v>
      </c>
      <c r="T6" s="5">
        <v>-364390</v>
      </c>
      <c r="U6" s="2">
        <v>1</v>
      </c>
      <c r="V6" s="10">
        <v>-203812</v>
      </c>
      <c r="W6" s="10">
        <v>-209835</v>
      </c>
      <c r="X6" s="10">
        <v>-213075</v>
      </c>
      <c r="Y6" s="10">
        <v>-210264</v>
      </c>
      <c r="Z6" s="10">
        <v>-219230</v>
      </c>
      <c r="AA6" s="10">
        <v>-220992</v>
      </c>
      <c r="AB6" s="10">
        <v>-207462</v>
      </c>
      <c r="AC6" s="10">
        <v>-207109</v>
      </c>
      <c r="AD6" s="10">
        <v>-218167</v>
      </c>
      <c r="AE6" s="10">
        <v>-209805</v>
      </c>
    </row>
    <row r="7" spans="1:31" x14ac:dyDescent="0.3">
      <c r="D7" s="2">
        <v>-175</v>
      </c>
      <c r="E7" s="4">
        <f t="shared" ref="E7:E70" si="2">V7*$B$5</f>
        <v>-20.825500000000002</v>
      </c>
      <c r="F7" s="4">
        <f t="shared" ref="F7:F70" si="3">W7*$B$5</f>
        <v>-21.811400000000003</v>
      </c>
      <c r="G7" s="4">
        <f t="shared" ref="G7:G70" si="4">X7*$B$5</f>
        <v>-21.6401</v>
      </c>
      <c r="H7" s="4">
        <f t="shared" ref="H7:H70" si="5">Y7*$B$5</f>
        <v>-21.364599999999999</v>
      </c>
      <c r="I7" s="4">
        <f t="shared" ref="I7:I70" si="6">Z7*$B$5</f>
        <v>-22.2517</v>
      </c>
      <c r="J7" s="4">
        <f t="shared" ref="J7:J70" si="7">AA7*$B$5</f>
        <v>-21.979600000000001</v>
      </c>
      <c r="K7" s="4">
        <f>AB7*$B$5</f>
        <v>-21.0593</v>
      </c>
      <c r="L7" s="4">
        <f t="shared" ref="L7:N70" si="8">AC7*$B$5</f>
        <v>-21.326700000000002</v>
      </c>
      <c r="M7" s="4">
        <f t="shared" si="1"/>
        <v>-22.284100000000002</v>
      </c>
      <c r="N7" s="4">
        <f t="shared" si="1"/>
        <v>-21.439400000000003</v>
      </c>
      <c r="P7" s="4">
        <f t="shared" ref="P7:P70" si="9">AVERAGE(E7:N7)</f>
        <v>-21.598239999999997</v>
      </c>
      <c r="Q7" s="13"/>
      <c r="R7" s="7"/>
      <c r="S7" s="9">
        <v>5</v>
      </c>
      <c r="T7" s="5">
        <v>-372458</v>
      </c>
      <c r="U7" s="2">
        <v>2</v>
      </c>
      <c r="V7" s="10">
        <v>-208255</v>
      </c>
      <c r="W7" s="10">
        <v>-218114</v>
      </c>
      <c r="X7" s="10">
        <v>-216401</v>
      </c>
      <c r="Y7" s="10">
        <v>-213646</v>
      </c>
      <c r="Z7" s="10">
        <v>-222517</v>
      </c>
      <c r="AA7" s="10">
        <v>-219796</v>
      </c>
      <c r="AB7" s="10">
        <v>-210593</v>
      </c>
      <c r="AC7" s="10">
        <v>-213267</v>
      </c>
      <c r="AD7" s="10">
        <v>-222841</v>
      </c>
      <c r="AE7" s="10">
        <v>-214394</v>
      </c>
    </row>
    <row r="8" spans="1:31" x14ac:dyDescent="0.3">
      <c r="D8" s="2">
        <v>-170</v>
      </c>
      <c r="E8" s="4">
        <f>V8*$B$5</f>
        <v>-21.170400000000001</v>
      </c>
      <c r="F8" s="4">
        <f t="shared" si="3"/>
        <v>-22.335599999999999</v>
      </c>
      <c r="G8" s="4">
        <f t="shared" si="4"/>
        <v>-22.097900000000003</v>
      </c>
      <c r="H8" s="4">
        <f t="shared" si="5"/>
        <v>-21.949000000000002</v>
      </c>
      <c r="I8" s="4">
        <f t="shared" si="6"/>
        <v>-22.850200000000001</v>
      </c>
      <c r="J8" s="4">
        <f t="shared" si="7"/>
        <v>-22.924500000000002</v>
      </c>
      <c r="K8" s="4">
        <f t="shared" ref="K8:K71" si="10">AB8*$B$5</f>
        <v>-22.443900000000003</v>
      </c>
      <c r="L8" s="4">
        <f t="shared" si="8"/>
        <v>-22.387</v>
      </c>
      <c r="M8" s="4">
        <f t="shared" si="1"/>
        <v>-22.368100000000002</v>
      </c>
      <c r="N8" s="4">
        <f t="shared" si="1"/>
        <v>-21.919499999999999</v>
      </c>
      <c r="P8" s="4">
        <f t="shared" si="9"/>
        <v>-22.244610000000002</v>
      </c>
      <c r="Q8" s="13"/>
      <c r="R8" s="7"/>
      <c r="S8" s="9">
        <v>10</v>
      </c>
      <c r="T8" s="5">
        <v>-382983</v>
      </c>
      <c r="U8" s="2">
        <v>3</v>
      </c>
      <c r="V8" s="10">
        <v>-211704</v>
      </c>
      <c r="W8" s="10">
        <v>-223356</v>
      </c>
      <c r="X8" s="10">
        <v>-220979</v>
      </c>
      <c r="Y8" s="10">
        <v>-219490</v>
      </c>
      <c r="Z8" s="10">
        <v>-228502</v>
      </c>
      <c r="AA8" s="10">
        <v>-229245</v>
      </c>
      <c r="AB8" s="10">
        <v>-224439</v>
      </c>
      <c r="AC8" s="10">
        <v>-223870</v>
      </c>
      <c r="AD8" s="10">
        <v>-223681</v>
      </c>
      <c r="AE8" s="10">
        <v>-219195</v>
      </c>
    </row>
    <row r="9" spans="1:31" x14ac:dyDescent="0.3">
      <c r="D9" s="2">
        <v>-165</v>
      </c>
      <c r="E9" s="4">
        <f t="shared" si="2"/>
        <v>-22.424700000000001</v>
      </c>
      <c r="F9" s="4">
        <f t="shared" si="3"/>
        <v>-23.16</v>
      </c>
      <c r="G9" s="4">
        <f t="shared" si="4"/>
        <v>-23.019300000000001</v>
      </c>
      <c r="H9" s="4">
        <f t="shared" si="5"/>
        <v>-22.9617</v>
      </c>
      <c r="I9" s="4">
        <f>Z9*$B$5</f>
        <v>-23.398600000000002</v>
      </c>
      <c r="J9" s="4">
        <f t="shared" si="7"/>
        <v>-24.1066</v>
      </c>
      <c r="K9" s="4">
        <f t="shared" si="10"/>
        <v>-23.244500000000002</v>
      </c>
      <c r="L9" s="4">
        <f t="shared" si="8"/>
        <v>-23.862300000000001</v>
      </c>
      <c r="M9" s="4">
        <f t="shared" si="1"/>
        <v>-23.063300000000002</v>
      </c>
      <c r="N9" s="4">
        <f t="shared" si="1"/>
        <v>-23.244700000000002</v>
      </c>
      <c r="P9" s="4">
        <f t="shared" si="9"/>
        <v>-23.248570000000001</v>
      </c>
      <c r="Q9" s="13"/>
      <c r="R9" s="7"/>
      <c r="S9" s="9">
        <v>15</v>
      </c>
      <c r="T9" s="5">
        <v>-390253</v>
      </c>
      <c r="U9" s="2">
        <v>4</v>
      </c>
      <c r="V9" s="10">
        <v>-224247</v>
      </c>
      <c r="W9" s="10">
        <v>-231600</v>
      </c>
      <c r="X9" s="10">
        <v>-230193</v>
      </c>
      <c r="Y9" s="10">
        <v>-229617</v>
      </c>
      <c r="Z9" s="10">
        <v>-233986</v>
      </c>
      <c r="AA9" s="10">
        <v>-241066</v>
      </c>
      <c r="AB9" s="10">
        <v>-232445</v>
      </c>
      <c r="AC9" s="10">
        <v>-238623</v>
      </c>
      <c r="AD9" s="10">
        <v>-230633</v>
      </c>
      <c r="AE9" s="10">
        <v>-232447</v>
      </c>
    </row>
    <row r="10" spans="1:31" x14ac:dyDescent="0.3">
      <c r="D10" s="2">
        <v>-160</v>
      </c>
      <c r="E10" s="4">
        <f t="shared" si="2"/>
        <v>-23.398600000000002</v>
      </c>
      <c r="F10" s="4">
        <f t="shared" si="3"/>
        <v>-24.414900000000003</v>
      </c>
      <c r="G10" s="4">
        <f t="shared" si="4"/>
        <v>-24.2483</v>
      </c>
      <c r="H10" s="4">
        <f t="shared" si="5"/>
        <v>-24.278500000000001</v>
      </c>
      <c r="I10" s="4">
        <f t="shared" si="6"/>
        <v>-24.691100000000002</v>
      </c>
      <c r="J10" s="4">
        <f t="shared" si="7"/>
        <v>-25.596900000000002</v>
      </c>
      <c r="K10" s="4">
        <f t="shared" si="10"/>
        <v>-23.976000000000003</v>
      </c>
      <c r="L10" s="4">
        <f t="shared" si="8"/>
        <v>-24.561400000000003</v>
      </c>
      <c r="M10" s="4">
        <f t="shared" si="1"/>
        <v>-24.0305</v>
      </c>
      <c r="N10" s="4">
        <f t="shared" si="1"/>
        <v>-24.017400000000002</v>
      </c>
      <c r="P10" s="4">
        <f t="shared" si="9"/>
        <v>-24.321360000000002</v>
      </c>
      <c r="Q10" s="13"/>
      <c r="R10" s="7"/>
      <c r="S10" s="9">
        <v>20</v>
      </c>
      <c r="T10" s="5">
        <v>-395395</v>
      </c>
      <c r="U10" s="2">
        <v>5</v>
      </c>
      <c r="V10" s="10">
        <v>-233986</v>
      </c>
      <c r="W10" s="10">
        <v>-244149</v>
      </c>
      <c r="X10" s="10">
        <v>-242483</v>
      </c>
      <c r="Y10" s="10">
        <v>-242785</v>
      </c>
      <c r="Z10" s="10">
        <v>-246911</v>
      </c>
      <c r="AA10" s="10">
        <v>-255969</v>
      </c>
      <c r="AB10" s="10">
        <v>-239760</v>
      </c>
      <c r="AC10" s="10">
        <v>-245614</v>
      </c>
      <c r="AD10" s="10">
        <v>-240305</v>
      </c>
      <c r="AE10" s="10">
        <v>-240174</v>
      </c>
    </row>
    <row r="11" spans="1:31" x14ac:dyDescent="0.3">
      <c r="D11" s="2">
        <v>-155</v>
      </c>
      <c r="E11" s="4">
        <f t="shared" si="2"/>
        <v>-25.126200000000001</v>
      </c>
      <c r="F11" s="4">
        <f t="shared" si="3"/>
        <v>-25.536200000000001</v>
      </c>
      <c r="G11" s="4">
        <f t="shared" si="4"/>
        <v>-26.6265</v>
      </c>
      <c r="H11" s="4">
        <f t="shared" si="5"/>
        <v>-26.316600000000001</v>
      </c>
      <c r="I11" s="4">
        <f t="shared" si="6"/>
        <v>-26.253400000000003</v>
      </c>
      <c r="J11" s="4">
        <f t="shared" si="7"/>
        <v>-27.351700000000001</v>
      </c>
      <c r="K11" s="4">
        <f t="shared" si="10"/>
        <v>-26.075800000000001</v>
      </c>
      <c r="L11" s="4">
        <f t="shared" si="8"/>
        <v>-25.748699999999999</v>
      </c>
      <c r="M11" s="4">
        <f t="shared" si="1"/>
        <v>-26.482500000000002</v>
      </c>
      <c r="N11" s="4">
        <f t="shared" si="1"/>
        <v>-26.2578</v>
      </c>
      <c r="P11" s="4">
        <f t="shared" si="9"/>
        <v>-26.17754</v>
      </c>
      <c r="Q11" s="13"/>
      <c r="R11" s="7"/>
      <c r="S11" s="9">
        <v>25</v>
      </c>
      <c r="T11" s="5">
        <v>-405585</v>
      </c>
      <c r="U11" s="2">
        <v>6</v>
      </c>
      <c r="V11" s="10">
        <v>-251262</v>
      </c>
      <c r="W11" s="10">
        <v>-255362</v>
      </c>
      <c r="X11" s="10">
        <v>-266265</v>
      </c>
      <c r="Y11" s="10">
        <v>-263166</v>
      </c>
      <c r="Z11" s="10">
        <v>-262534</v>
      </c>
      <c r="AA11" s="10">
        <v>-273517</v>
      </c>
      <c r="AB11" s="10">
        <v>-260758</v>
      </c>
      <c r="AC11" s="10">
        <v>-257487</v>
      </c>
      <c r="AD11" s="10">
        <v>-264825</v>
      </c>
      <c r="AE11" s="10">
        <v>-262578</v>
      </c>
    </row>
    <row r="12" spans="1:31" x14ac:dyDescent="0.3">
      <c r="D12" s="2">
        <v>-150</v>
      </c>
      <c r="E12" s="4">
        <f t="shared" si="2"/>
        <v>-27.330200000000001</v>
      </c>
      <c r="F12" s="4">
        <f t="shared" si="3"/>
        <v>-27.982100000000003</v>
      </c>
      <c r="G12" s="4">
        <f t="shared" si="4"/>
        <v>-28.4634</v>
      </c>
      <c r="H12" s="4">
        <f t="shared" si="5"/>
        <v>-28.189800000000002</v>
      </c>
      <c r="I12" s="4">
        <f t="shared" si="6"/>
        <v>-28.542200000000001</v>
      </c>
      <c r="J12" s="4">
        <f t="shared" si="7"/>
        <v>-29.309000000000001</v>
      </c>
      <c r="K12" s="4">
        <f t="shared" si="10"/>
        <v>-27.810700000000001</v>
      </c>
      <c r="L12" s="4">
        <f t="shared" si="8"/>
        <v>-28.273</v>
      </c>
      <c r="M12" s="4">
        <f t="shared" si="1"/>
        <v>-28.180400000000002</v>
      </c>
      <c r="N12" s="4">
        <f t="shared" si="1"/>
        <v>-28.1267</v>
      </c>
      <c r="P12" s="4">
        <f t="shared" si="9"/>
        <v>-28.220749999999999</v>
      </c>
      <c r="Q12" s="13"/>
      <c r="R12" s="7"/>
      <c r="S12" s="9">
        <v>30</v>
      </c>
      <c r="T12" s="5">
        <v>-419373</v>
      </c>
      <c r="U12" s="2">
        <v>7</v>
      </c>
      <c r="V12" s="10">
        <v>-273302</v>
      </c>
      <c r="W12" s="10">
        <v>-279821</v>
      </c>
      <c r="X12" s="10">
        <v>-284634</v>
      </c>
      <c r="Y12" s="10">
        <v>-281898</v>
      </c>
      <c r="Z12" s="10">
        <v>-285422</v>
      </c>
      <c r="AA12" s="10">
        <v>-293090</v>
      </c>
      <c r="AB12" s="10">
        <v>-278107</v>
      </c>
      <c r="AC12" s="10">
        <v>-282730</v>
      </c>
      <c r="AD12" s="10">
        <v>-281804</v>
      </c>
      <c r="AE12" s="10">
        <v>-281267</v>
      </c>
    </row>
    <row r="13" spans="1:31" x14ac:dyDescent="0.3">
      <c r="D13" s="2">
        <v>-145</v>
      </c>
      <c r="E13" s="4">
        <f t="shared" si="2"/>
        <v>-30.174100000000003</v>
      </c>
      <c r="F13" s="4">
        <f t="shared" si="3"/>
        <v>-30.988900000000001</v>
      </c>
      <c r="G13" s="4">
        <f t="shared" si="4"/>
        <v>-31.177900000000001</v>
      </c>
      <c r="H13" s="4">
        <f t="shared" si="5"/>
        <v>-30.754000000000001</v>
      </c>
      <c r="I13" s="4">
        <f t="shared" si="6"/>
        <v>-31.221900000000002</v>
      </c>
      <c r="J13" s="4">
        <f t="shared" si="7"/>
        <v>-31.584100000000003</v>
      </c>
      <c r="K13" s="4">
        <f t="shared" si="10"/>
        <v>-30.683800000000002</v>
      </c>
      <c r="L13" s="4">
        <f t="shared" si="8"/>
        <v>-30.393700000000003</v>
      </c>
      <c r="M13" s="4">
        <f t="shared" si="1"/>
        <v>-31.294700000000002</v>
      </c>
      <c r="N13" s="4">
        <f t="shared" si="1"/>
        <v>-30.540700000000001</v>
      </c>
      <c r="P13" s="4">
        <f t="shared" si="9"/>
        <v>-30.88138</v>
      </c>
      <c r="Q13" s="13"/>
      <c r="R13" s="7"/>
      <c r="S13" s="9">
        <v>35</v>
      </c>
      <c r="T13" s="5">
        <v>-438526</v>
      </c>
      <c r="U13" s="2">
        <v>8</v>
      </c>
      <c r="V13" s="10">
        <v>-301741</v>
      </c>
      <c r="W13" s="10">
        <v>-309889</v>
      </c>
      <c r="X13" s="10">
        <v>-311779</v>
      </c>
      <c r="Y13" s="10">
        <v>-307540</v>
      </c>
      <c r="Z13" s="10">
        <v>-312219</v>
      </c>
      <c r="AA13" s="10">
        <v>-315841</v>
      </c>
      <c r="AB13" s="10">
        <v>-306838</v>
      </c>
      <c r="AC13" s="10">
        <v>-303937</v>
      </c>
      <c r="AD13" s="10">
        <v>-312947</v>
      </c>
      <c r="AE13" s="10">
        <v>-305407</v>
      </c>
    </row>
    <row r="14" spans="1:31" x14ac:dyDescent="0.3">
      <c r="D14" s="2">
        <v>-140</v>
      </c>
      <c r="E14" s="4">
        <f t="shared" si="2"/>
        <v>-33.798500000000004</v>
      </c>
      <c r="F14" s="4">
        <f t="shared" si="3"/>
        <v>-33.902900000000002</v>
      </c>
      <c r="G14" s="4">
        <f t="shared" si="4"/>
        <v>-34.326599999999999</v>
      </c>
      <c r="H14" s="4">
        <f t="shared" si="5"/>
        <v>-33.944200000000002</v>
      </c>
      <c r="I14" s="4">
        <f>Z14*$B$5</f>
        <v>-34.592500000000001</v>
      </c>
      <c r="J14" s="4">
        <f t="shared" si="7"/>
        <v>-34.663899999999998</v>
      </c>
      <c r="K14" s="4">
        <f t="shared" si="10"/>
        <v>-33.895000000000003</v>
      </c>
      <c r="L14" s="4">
        <f t="shared" si="8"/>
        <v>-33.7395</v>
      </c>
      <c r="M14" s="4">
        <f t="shared" si="1"/>
        <v>-35.562800000000003</v>
      </c>
      <c r="N14" s="4">
        <f t="shared" si="1"/>
        <v>-33.671300000000002</v>
      </c>
      <c r="P14" s="4">
        <f t="shared" si="9"/>
        <v>-34.209720000000004</v>
      </c>
      <c r="Q14" s="13"/>
      <c r="R14" s="7"/>
      <c r="S14" s="9">
        <v>40</v>
      </c>
      <c r="T14" s="5">
        <v>-464457</v>
      </c>
      <c r="U14" s="2">
        <v>9</v>
      </c>
      <c r="V14" s="10">
        <v>-337985</v>
      </c>
      <c r="W14" s="10">
        <v>-339029</v>
      </c>
      <c r="X14" s="10">
        <v>-343266</v>
      </c>
      <c r="Y14" s="10">
        <v>-339442</v>
      </c>
      <c r="Z14" s="10">
        <v>-345925</v>
      </c>
      <c r="AA14" s="10">
        <v>-346639</v>
      </c>
      <c r="AB14" s="10">
        <v>-338950</v>
      </c>
      <c r="AC14" s="10">
        <v>-337395</v>
      </c>
      <c r="AD14" s="10">
        <v>-355628</v>
      </c>
      <c r="AE14" s="10">
        <v>-336713</v>
      </c>
    </row>
    <row r="15" spans="1:31" x14ac:dyDescent="0.3">
      <c r="D15" s="2">
        <v>-135</v>
      </c>
      <c r="E15" s="4">
        <f t="shared" si="2"/>
        <v>-38.311900000000001</v>
      </c>
      <c r="F15" s="4">
        <f t="shared" si="3"/>
        <v>-37.816500000000005</v>
      </c>
      <c r="G15" s="4">
        <f t="shared" si="4"/>
        <v>-38.333500000000001</v>
      </c>
      <c r="H15" s="4">
        <f t="shared" si="5"/>
        <v>-38.349699999999999</v>
      </c>
      <c r="I15" s="4">
        <f t="shared" si="6"/>
        <v>-38.672000000000004</v>
      </c>
      <c r="J15" s="4">
        <f t="shared" si="7"/>
        <v>-40.133800000000001</v>
      </c>
      <c r="K15" s="4">
        <f t="shared" si="10"/>
        <v>-38.563200000000002</v>
      </c>
      <c r="L15" s="4">
        <f t="shared" si="8"/>
        <v>-38.263300000000001</v>
      </c>
      <c r="M15" s="4">
        <f t="shared" si="1"/>
        <v>-39.924700000000001</v>
      </c>
      <c r="N15" s="4">
        <f t="shared" si="1"/>
        <v>-37.835799999999999</v>
      </c>
      <c r="P15" s="4">
        <f t="shared" si="9"/>
        <v>-38.620440000000002</v>
      </c>
      <c r="Q15" s="13"/>
      <c r="R15" s="7"/>
      <c r="S15" s="9">
        <v>45</v>
      </c>
      <c r="T15" s="5">
        <v>-480862</v>
      </c>
      <c r="U15" s="2">
        <v>10</v>
      </c>
      <c r="V15" s="10">
        <v>-383119</v>
      </c>
      <c r="W15" s="10">
        <v>-378165</v>
      </c>
      <c r="X15" s="10">
        <v>-383335</v>
      </c>
      <c r="Y15" s="10">
        <v>-383497</v>
      </c>
      <c r="Z15" s="10">
        <v>-386720</v>
      </c>
      <c r="AA15" s="10">
        <v>-401338</v>
      </c>
      <c r="AB15" s="10">
        <v>-385632</v>
      </c>
      <c r="AC15" s="10">
        <v>-382633</v>
      </c>
      <c r="AD15" s="10">
        <v>-399247</v>
      </c>
      <c r="AE15" s="10">
        <v>-378358</v>
      </c>
    </row>
    <row r="16" spans="1:31" x14ac:dyDescent="0.3">
      <c r="D16" s="2">
        <v>-130</v>
      </c>
      <c r="E16" s="4">
        <f t="shared" si="2"/>
        <v>-46.612200000000001</v>
      </c>
      <c r="F16" s="4">
        <f t="shared" si="3"/>
        <v>-43.298300000000005</v>
      </c>
      <c r="G16" s="4">
        <f t="shared" si="4"/>
        <v>-43.813099999999999</v>
      </c>
      <c r="H16" s="4">
        <f t="shared" si="5"/>
        <v>-44.688000000000002</v>
      </c>
      <c r="I16" s="4">
        <f t="shared" si="6"/>
        <v>-45.269200000000005</v>
      </c>
      <c r="J16" s="4">
        <f t="shared" si="7"/>
        <v>-46.757400000000004</v>
      </c>
      <c r="K16" s="4">
        <f t="shared" si="10"/>
        <v>-43.463500000000003</v>
      </c>
      <c r="L16" s="4">
        <f t="shared" si="8"/>
        <v>-43.687200000000004</v>
      </c>
      <c r="M16" s="4">
        <f t="shared" si="1"/>
        <v>-46.497</v>
      </c>
      <c r="N16" s="4">
        <f t="shared" si="1"/>
        <v>-43.560700000000004</v>
      </c>
      <c r="P16" s="4">
        <f t="shared" si="9"/>
        <v>-44.764660000000006</v>
      </c>
      <c r="Q16" s="13"/>
      <c r="R16" s="7"/>
      <c r="S16" s="9">
        <v>50</v>
      </c>
      <c r="T16" s="5">
        <v>-490288</v>
      </c>
      <c r="U16" s="2">
        <v>11</v>
      </c>
      <c r="V16" s="10">
        <v>-466122</v>
      </c>
      <c r="W16" s="10">
        <v>-432983</v>
      </c>
      <c r="X16" s="10">
        <v>-438131</v>
      </c>
      <c r="Y16" s="10">
        <v>-446880</v>
      </c>
      <c r="Z16" s="10">
        <v>-452692</v>
      </c>
      <c r="AA16" s="10">
        <v>-467574</v>
      </c>
      <c r="AB16" s="10">
        <v>-434635</v>
      </c>
      <c r="AC16" s="10">
        <v>-436872</v>
      </c>
      <c r="AD16" s="10">
        <v>-464970</v>
      </c>
      <c r="AE16" s="10">
        <v>-435607</v>
      </c>
    </row>
    <row r="17" spans="4:31" x14ac:dyDescent="0.3">
      <c r="D17" s="2">
        <v>-125</v>
      </c>
      <c r="E17" s="4">
        <f t="shared" si="2"/>
        <v>-59.162800000000004</v>
      </c>
      <c r="F17" s="4">
        <f t="shared" si="3"/>
        <v>-52.292000000000002</v>
      </c>
      <c r="G17" s="4">
        <f t="shared" si="4"/>
        <v>-53.220500000000001</v>
      </c>
      <c r="H17" s="4">
        <f t="shared" si="5"/>
        <v>-57.002900000000004</v>
      </c>
      <c r="I17" s="4">
        <f t="shared" si="6"/>
        <v>-56.148700000000005</v>
      </c>
      <c r="J17" s="4">
        <f t="shared" si="7"/>
        <v>-52.629000000000005</v>
      </c>
      <c r="K17" s="4">
        <f t="shared" si="10"/>
        <v>-53.919499999999999</v>
      </c>
      <c r="L17" s="4">
        <f t="shared" si="8"/>
        <v>-54.626300000000001</v>
      </c>
      <c r="M17" s="4">
        <f t="shared" si="1"/>
        <v>-53.948900000000002</v>
      </c>
      <c r="N17" s="4">
        <f t="shared" si="1"/>
        <v>-54.471900000000005</v>
      </c>
      <c r="P17" s="4">
        <f t="shared" si="9"/>
        <v>-54.742249999999999</v>
      </c>
      <c r="Q17" s="13"/>
      <c r="R17" s="7"/>
      <c r="S17" s="9">
        <v>55</v>
      </c>
      <c r="T17" s="5">
        <v>-473146</v>
      </c>
      <c r="U17" s="2">
        <v>12</v>
      </c>
      <c r="V17" s="10">
        <v>-591628</v>
      </c>
      <c r="W17" s="10">
        <v>-522920</v>
      </c>
      <c r="X17" s="10">
        <v>-532205</v>
      </c>
      <c r="Y17" s="10">
        <v>-570029</v>
      </c>
      <c r="Z17" s="10">
        <v>-561487</v>
      </c>
      <c r="AA17" s="10">
        <v>-526290</v>
      </c>
      <c r="AB17" s="10">
        <v>-539195</v>
      </c>
      <c r="AC17" s="10">
        <v>-546263</v>
      </c>
      <c r="AD17" s="10">
        <v>-539489</v>
      </c>
      <c r="AE17" s="10">
        <v>-544719</v>
      </c>
    </row>
    <row r="18" spans="4:31" x14ac:dyDescent="0.3">
      <c r="D18" s="2">
        <v>-120</v>
      </c>
      <c r="E18" s="4">
        <f t="shared" si="2"/>
        <v>-53.377000000000002</v>
      </c>
      <c r="F18" s="4">
        <f t="shared" si="3"/>
        <v>-58.554200000000002</v>
      </c>
      <c r="G18" s="4">
        <f t="shared" si="4"/>
        <v>-63.770300000000006</v>
      </c>
      <c r="H18" s="4">
        <f t="shared" si="5"/>
        <v>-58.766600000000004</v>
      </c>
      <c r="I18" s="4">
        <f t="shared" si="6"/>
        <v>-55.368000000000002</v>
      </c>
      <c r="J18" s="4">
        <f t="shared" si="7"/>
        <v>-58.8215</v>
      </c>
      <c r="K18" s="4">
        <f t="shared" si="10"/>
        <v>-62.641000000000005</v>
      </c>
      <c r="L18" s="4">
        <f t="shared" si="8"/>
        <v>-59.485500000000002</v>
      </c>
      <c r="M18" s="4">
        <f t="shared" si="1"/>
        <v>-57.300200000000004</v>
      </c>
      <c r="N18" s="4">
        <f t="shared" si="1"/>
        <v>-61.448399999999999</v>
      </c>
      <c r="P18" s="4">
        <f t="shared" si="9"/>
        <v>-58.95327000000001</v>
      </c>
      <c r="Q18" s="13"/>
      <c r="R18" s="7"/>
      <c r="S18" s="9">
        <v>60</v>
      </c>
      <c r="T18" s="5">
        <v>-452004</v>
      </c>
      <c r="U18" s="2">
        <v>13</v>
      </c>
      <c r="V18" s="10">
        <v>-533770</v>
      </c>
      <c r="W18" s="10">
        <v>-585542</v>
      </c>
      <c r="X18" s="10">
        <v>-637703</v>
      </c>
      <c r="Y18" s="10">
        <v>-587666</v>
      </c>
      <c r="Z18" s="10">
        <v>-553680</v>
      </c>
      <c r="AA18" s="10">
        <v>-588215</v>
      </c>
      <c r="AB18" s="10">
        <v>-626410</v>
      </c>
      <c r="AC18" s="10">
        <v>-594855</v>
      </c>
      <c r="AD18" s="10">
        <v>-573002</v>
      </c>
      <c r="AE18" s="10">
        <v>-614484</v>
      </c>
    </row>
    <row r="19" spans="4:31" x14ac:dyDescent="0.3">
      <c r="D19" s="2">
        <v>-115</v>
      </c>
      <c r="E19" s="4">
        <f t="shared" si="2"/>
        <v>-50.094500000000004</v>
      </c>
      <c r="F19" s="4">
        <f t="shared" si="3"/>
        <v>-59.057900000000004</v>
      </c>
      <c r="G19" s="4">
        <f t="shared" si="4"/>
        <v>-54.109500000000004</v>
      </c>
      <c r="H19" s="4">
        <f t="shared" si="5"/>
        <v>-53.477000000000004</v>
      </c>
      <c r="I19" s="4">
        <f t="shared" si="6"/>
        <v>-52.488900000000001</v>
      </c>
      <c r="J19" s="4">
        <f t="shared" si="7"/>
        <v>-58.965600000000002</v>
      </c>
      <c r="K19" s="4">
        <f t="shared" si="10"/>
        <v>-53.483700000000006</v>
      </c>
      <c r="L19" s="4">
        <f t="shared" si="8"/>
        <v>-52.862100000000005</v>
      </c>
      <c r="M19" s="4">
        <f t="shared" si="1"/>
        <v>-54.855200000000004</v>
      </c>
      <c r="N19" s="4">
        <f t="shared" si="1"/>
        <v>-53.249600000000001</v>
      </c>
      <c r="P19" s="4">
        <f t="shared" si="9"/>
        <v>-54.264400000000002</v>
      </c>
      <c r="Q19" s="13"/>
      <c r="R19" s="7"/>
      <c r="S19" s="9">
        <v>65</v>
      </c>
      <c r="T19" s="5">
        <v>-425431</v>
      </c>
      <c r="U19" s="2">
        <v>14</v>
      </c>
      <c r="V19" s="10">
        <v>-500945</v>
      </c>
      <c r="W19" s="10">
        <v>-590579</v>
      </c>
      <c r="X19" s="10">
        <v>-541095</v>
      </c>
      <c r="Y19" s="10">
        <v>-534770</v>
      </c>
      <c r="Z19" s="10">
        <v>-524889</v>
      </c>
      <c r="AA19" s="10">
        <v>-589656</v>
      </c>
      <c r="AB19" s="10">
        <v>-534837</v>
      </c>
      <c r="AC19" s="10">
        <v>-528621</v>
      </c>
      <c r="AD19" s="10">
        <v>-548552</v>
      </c>
      <c r="AE19" s="10">
        <v>-532496</v>
      </c>
    </row>
    <row r="20" spans="4:31" x14ac:dyDescent="0.3">
      <c r="D20" s="2">
        <v>-110</v>
      </c>
      <c r="E20" s="4">
        <f t="shared" si="2"/>
        <v>-48.606000000000002</v>
      </c>
      <c r="F20" s="4">
        <f t="shared" si="3"/>
        <v>-54.068600000000004</v>
      </c>
      <c r="G20" s="4">
        <f t="shared" si="4"/>
        <v>-52.0244</v>
      </c>
      <c r="H20" s="4">
        <f t="shared" si="5"/>
        <v>-54.447500000000005</v>
      </c>
      <c r="I20" s="4">
        <f t="shared" si="6"/>
        <v>-52.7087</v>
      </c>
      <c r="J20" s="4">
        <f t="shared" si="7"/>
        <v>-55.408000000000001</v>
      </c>
      <c r="K20" s="4">
        <f t="shared" si="10"/>
        <v>-52.563400000000001</v>
      </c>
      <c r="L20" s="4">
        <f t="shared" si="8"/>
        <v>-54.964400000000005</v>
      </c>
      <c r="M20" s="4">
        <f t="shared" si="1"/>
        <v>-51.617800000000003</v>
      </c>
      <c r="N20" s="4">
        <f t="shared" si="1"/>
        <v>-52.284600000000005</v>
      </c>
      <c r="P20" s="4">
        <f t="shared" si="9"/>
        <v>-52.869340000000001</v>
      </c>
      <c r="Q20" s="13"/>
      <c r="R20" s="7"/>
      <c r="S20" s="9">
        <v>70</v>
      </c>
      <c r="T20" s="5">
        <v>-413230</v>
      </c>
      <c r="U20" s="2">
        <v>15</v>
      </c>
      <c r="V20" s="10">
        <v>-486060</v>
      </c>
      <c r="W20" s="10">
        <v>-540686</v>
      </c>
      <c r="X20" s="10">
        <v>-520244</v>
      </c>
      <c r="Y20" s="10">
        <v>-544475</v>
      </c>
      <c r="Z20" s="10">
        <v>-527087</v>
      </c>
      <c r="AA20" s="10">
        <v>-554080</v>
      </c>
      <c r="AB20" s="10">
        <v>-525634</v>
      </c>
      <c r="AC20" s="10">
        <v>-549644</v>
      </c>
      <c r="AD20" s="10">
        <v>-516178</v>
      </c>
      <c r="AE20" s="10">
        <v>-522846</v>
      </c>
    </row>
    <row r="21" spans="4:31" x14ac:dyDescent="0.3">
      <c r="D21" s="2">
        <v>-105</v>
      </c>
      <c r="E21" s="4">
        <f t="shared" si="2"/>
        <v>-51.584099999999999</v>
      </c>
      <c r="F21" s="4">
        <f t="shared" si="3"/>
        <v>-52.951900000000002</v>
      </c>
      <c r="G21" s="4">
        <f t="shared" si="4"/>
        <v>-53.019500000000001</v>
      </c>
      <c r="H21" s="4">
        <f t="shared" si="5"/>
        <v>-59.766500000000001</v>
      </c>
      <c r="I21" s="4">
        <f t="shared" si="6"/>
        <v>-56.543700000000001</v>
      </c>
      <c r="J21" s="4">
        <f t="shared" si="7"/>
        <v>-58.8247</v>
      </c>
      <c r="K21" s="4">
        <f t="shared" si="10"/>
        <v>-53.765500000000003</v>
      </c>
      <c r="L21" s="4">
        <f t="shared" si="8"/>
        <v>-51.827400000000004</v>
      </c>
      <c r="M21" s="4">
        <f t="shared" si="1"/>
        <v>-52.7911</v>
      </c>
      <c r="N21" s="4">
        <f t="shared" si="1"/>
        <v>-53.870100000000001</v>
      </c>
      <c r="P21" s="4">
        <f t="shared" si="9"/>
        <v>-54.494450000000008</v>
      </c>
      <c r="Q21" s="13"/>
      <c r="R21" s="7"/>
      <c r="S21" s="9">
        <v>75</v>
      </c>
      <c r="T21" s="5">
        <v>-412020</v>
      </c>
      <c r="U21" s="2">
        <v>16</v>
      </c>
      <c r="V21" s="10">
        <v>-515841</v>
      </c>
      <c r="W21" s="10">
        <v>-529519</v>
      </c>
      <c r="X21" s="10">
        <v>-530195</v>
      </c>
      <c r="Y21" s="10">
        <v>-597665</v>
      </c>
      <c r="Z21" s="10">
        <v>-565437</v>
      </c>
      <c r="AA21" s="10">
        <v>-588247</v>
      </c>
      <c r="AB21" s="10">
        <v>-537655</v>
      </c>
      <c r="AC21" s="10">
        <v>-518274</v>
      </c>
      <c r="AD21" s="10">
        <v>-527911</v>
      </c>
      <c r="AE21" s="10">
        <v>-538701</v>
      </c>
    </row>
    <row r="22" spans="4:31" x14ac:dyDescent="0.3">
      <c r="D22" s="2">
        <v>-100</v>
      </c>
      <c r="E22" s="4">
        <f t="shared" si="2"/>
        <v>-52.856100000000005</v>
      </c>
      <c r="F22" s="4">
        <f t="shared" si="3"/>
        <v>-55.297800000000002</v>
      </c>
      <c r="G22" s="4">
        <f t="shared" si="4"/>
        <v>-57.526500000000006</v>
      </c>
      <c r="H22" s="4">
        <f t="shared" si="5"/>
        <v>-62.028300000000002</v>
      </c>
      <c r="I22" s="4">
        <f t="shared" si="6"/>
        <v>-61.889000000000003</v>
      </c>
      <c r="J22" s="4">
        <f t="shared" si="7"/>
        <v>-62.494200000000006</v>
      </c>
      <c r="K22" s="4">
        <f t="shared" si="10"/>
        <v>-61.652700000000003</v>
      </c>
      <c r="L22" s="4">
        <f t="shared" si="8"/>
        <v>-57.370600000000003</v>
      </c>
      <c r="M22" s="4">
        <f t="shared" si="1"/>
        <v>-56.839200000000005</v>
      </c>
      <c r="N22" s="4">
        <f t="shared" si="1"/>
        <v>-56.771800000000006</v>
      </c>
      <c r="P22" s="4">
        <f t="shared" si="9"/>
        <v>-58.472620000000006</v>
      </c>
      <c r="Q22" s="13"/>
      <c r="R22" s="7"/>
      <c r="S22" s="9">
        <v>80</v>
      </c>
      <c r="T22" s="5">
        <v>-416618</v>
      </c>
      <c r="U22" s="2">
        <v>17</v>
      </c>
      <c r="V22" s="10">
        <v>-528561</v>
      </c>
      <c r="W22" s="10">
        <v>-552978</v>
      </c>
      <c r="X22" s="10">
        <v>-575265</v>
      </c>
      <c r="Y22" s="10">
        <v>-620283</v>
      </c>
      <c r="Z22" s="10">
        <v>-618890</v>
      </c>
      <c r="AA22" s="10">
        <v>-624942</v>
      </c>
      <c r="AB22" s="10">
        <v>-616527</v>
      </c>
      <c r="AC22" s="10">
        <v>-573706</v>
      </c>
      <c r="AD22" s="10">
        <v>-568392</v>
      </c>
      <c r="AE22" s="10">
        <v>-567718</v>
      </c>
    </row>
    <row r="23" spans="4:31" x14ac:dyDescent="0.3">
      <c r="D23" s="2">
        <v>-95</v>
      </c>
      <c r="E23" s="4">
        <f t="shared" si="2"/>
        <v>-53.695600000000006</v>
      </c>
      <c r="F23" s="4">
        <f t="shared" si="3"/>
        <v>-57.734700000000004</v>
      </c>
      <c r="G23" s="4">
        <f t="shared" si="4"/>
        <v>-56.704100000000004</v>
      </c>
      <c r="H23" s="4">
        <f t="shared" si="5"/>
        <v>-57.391300000000001</v>
      </c>
      <c r="I23" s="4">
        <f t="shared" si="6"/>
        <v>-60.946100000000001</v>
      </c>
      <c r="J23" s="4">
        <f t="shared" si="7"/>
        <v>-65.847099999999998</v>
      </c>
      <c r="K23" s="4">
        <f t="shared" si="10"/>
        <v>-64.010900000000007</v>
      </c>
      <c r="L23" s="4">
        <f t="shared" si="8"/>
        <v>-60.002900000000004</v>
      </c>
      <c r="M23" s="4">
        <f t="shared" si="1"/>
        <v>-59.152100000000004</v>
      </c>
      <c r="N23" s="4">
        <f t="shared" si="1"/>
        <v>-61.342000000000006</v>
      </c>
      <c r="P23" s="4">
        <f t="shared" si="9"/>
        <v>-59.682680000000005</v>
      </c>
      <c r="Q23" s="13"/>
      <c r="R23" s="7"/>
      <c r="S23" s="9">
        <v>85</v>
      </c>
      <c r="T23" s="5">
        <v>-437361</v>
      </c>
      <c r="U23" s="2">
        <v>18</v>
      </c>
      <c r="V23" s="10">
        <v>-536956</v>
      </c>
      <c r="W23" s="10">
        <v>-577347</v>
      </c>
      <c r="X23" s="10">
        <v>-567041</v>
      </c>
      <c r="Y23" s="10">
        <v>-573913</v>
      </c>
      <c r="Z23" s="10">
        <v>-609461</v>
      </c>
      <c r="AA23" s="10">
        <v>-658471</v>
      </c>
      <c r="AB23" s="10">
        <v>-640109</v>
      </c>
      <c r="AC23" s="10">
        <v>-600029</v>
      </c>
      <c r="AD23" s="10">
        <v>-591521</v>
      </c>
      <c r="AE23" s="10">
        <v>-613420</v>
      </c>
    </row>
    <row r="24" spans="4:31" x14ac:dyDescent="0.3">
      <c r="D24" s="2">
        <v>-90</v>
      </c>
      <c r="E24" s="4">
        <f t="shared" si="2"/>
        <v>-54.841500000000003</v>
      </c>
      <c r="F24" s="4">
        <f t="shared" si="3"/>
        <v>-54.531200000000005</v>
      </c>
      <c r="G24" s="4">
        <f t="shared" si="4"/>
        <v>-53.4619</v>
      </c>
      <c r="H24" s="4">
        <f t="shared" si="5"/>
        <v>-55.521100000000004</v>
      </c>
      <c r="I24" s="4">
        <f t="shared" si="6"/>
        <v>-57.603300000000004</v>
      </c>
      <c r="J24" s="4">
        <f t="shared" si="7"/>
        <v>-63.955000000000005</v>
      </c>
      <c r="K24" s="4">
        <f t="shared" si="10"/>
        <v>-60.767100000000006</v>
      </c>
      <c r="L24" s="4">
        <f t="shared" si="8"/>
        <v>-57.589100000000002</v>
      </c>
      <c r="M24" s="4">
        <f t="shared" si="1"/>
        <v>-57.259300000000003</v>
      </c>
      <c r="N24" s="4">
        <f t="shared" si="1"/>
        <v>-61.048000000000002</v>
      </c>
      <c r="P24" s="4">
        <f t="shared" si="9"/>
        <v>-57.657750000000007</v>
      </c>
      <c r="Q24" s="13"/>
      <c r="R24" s="7"/>
      <c r="S24" s="9">
        <v>90</v>
      </c>
      <c r="T24" s="5">
        <v>-463092</v>
      </c>
      <c r="U24" s="2">
        <v>19</v>
      </c>
      <c r="V24" s="10">
        <v>-548415</v>
      </c>
      <c r="W24" s="10">
        <v>-545312</v>
      </c>
      <c r="X24" s="10">
        <v>-534619</v>
      </c>
      <c r="Y24" s="10">
        <v>-555211</v>
      </c>
      <c r="Z24" s="10">
        <v>-576033</v>
      </c>
      <c r="AA24" s="10">
        <v>-639550</v>
      </c>
      <c r="AB24" s="10">
        <v>-607671</v>
      </c>
      <c r="AC24" s="10">
        <v>-575891</v>
      </c>
      <c r="AD24" s="10">
        <v>-572593</v>
      </c>
      <c r="AE24" s="10">
        <v>-610480</v>
      </c>
    </row>
    <row r="25" spans="4:31" x14ac:dyDescent="0.3">
      <c r="D25" s="2">
        <v>-85</v>
      </c>
      <c r="E25" s="4">
        <f t="shared" si="2"/>
        <v>-50.827100000000002</v>
      </c>
      <c r="F25" s="4">
        <f t="shared" si="3"/>
        <v>-49.760800000000003</v>
      </c>
      <c r="G25" s="4">
        <f t="shared" si="4"/>
        <v>-49.531300000000002</v>
      </c>
      <c r="H25" s="4">
        <f t="shared" si="5"/>
        <v>-56.188200000000002</v>
      </c>
      <c r="I25" s="4">
        <f t="shared" si="6"/>
        <v>-54.528500000000001</v>
      </c>
      <c r="J25" s="4">
        <f t="shared" si="7"/>
        <v>-58.842500000000001</v>
      </c>
      <c r="K25" s="4">
        <f t="shared" si="10"/>
        <v>-55.737300000000005</v>
      </c>
      <c r="L25" s="4">
        <f t="shared" si="8"/>
        <v>-51.919200000000004</v>
      </c>
      <c r="M25" s="4">
        <f t="shared" si="1"/>
        <v>-53.057700000000004</v>
      </c>
      <c r="N25" s="4">
        <f t="shared" si="1"/>
        <v>-56.518300000000004</v>
      </c>
      <c r="P25" s="4">
        <f t="shared" si="9"/>
        <v>-53.691089999999996</v>
      </c>
      <c r="Q25" s="13"/>
      <c r="R25" s="7"/>
      <c r="S25" s="9">
        <v>95</v>
      </c>
      <c r="T25" s="5">
        <v>-486006</v>
      </c>
      <c r="U25" s="2">
        <v>20</v>
      </c>
      <c r="V25" s="10">
        <v>-508271</v>
      </c>
      <c r="W25" s="10">
        <v>-497608</v>
      </c>
      <c r="X25" s="10">
        <v>-495313</v>
      </c>
      <c r="Y25" s="10">
        <v>-561882</v>
      </c>
      <c r="Z25" s="10">
        <v>-545285</v>
      </c>
      <c r="AA25" s="10">
        <v>-588425</v>
      </c>
      <c r="AB25" s="10">
        <v>-557373</v>
      </c>
      <c r="AC25" s="10">
        <v>-519192</v>
      </c>
      <c r="AD25" s="10">
        <v>-530577</v>
      </c>
      <c r="AE25" s="10">
        <v>-565183</v>
      </c>
    </row>
    <row r="26" spans="4:31" x14ac:dyDescent="0.3">
      <c r="D26" s="2">
        <v>-80</v>
      </c>
      <c r="E26" s="4">
        <f t="shared" si="2"/>
        <v>-51.5565</v>
      </c>
      <c r="F26" s="4">
        <f t="shared" si="3"/>
        <v>-46.946300000000001</v>
      </c>
      <c r="G26" s="4">
        <f t="shared" si="4"/>
        <v>-47.197400000000002</v>
      </c>
      <c r="H26" s="4">
        <f t="shared" si="5"/>
        <v>-55.620699999999999</v>
      </c>
      <c r="I26" s="4">
        <f t="shared" si="6"/>
        <v>-51.857100000000003</v>
      </c>
      <c r="J26" s="4">
        <f t="shared" si="7"/>
        <v>-53.574600000000004</v>
      </c>
      <c r="K26" s="4">
        <f t="shared" si="10"/>
        <v>-51.951599999999999</v>
      </c>
      <c r="L26" s="4">
        <f t="shared" si="8"/>
        <v>-48.806000000000004</v>
      </c>
      <c r="M26" s="4">
        <f t="shared" si="1"/>
        <v>-49.517800000000001</v>
      </c>
      <c r="N26" s="4">
        <f t="shared" si="1"/>
        <v>-52.918200000000006</v>
      </c>
      <c r="P26" s="4">
        <f t="shared" si="9"/>
        <v>-50.994620000000005</v>
      </c>
      <c r="Q26" s="13"/>
      <c r="R26" s="7"/>
      <c r="S26" s="9">
        <v>100</v>
      </c>
      <c r="T26" s="5">
        <v>-490737</v>
      </c>
      <c r="U26" s="2">
        <v>21</v>
      </c>
      <c r="V26" s="10">
        <v>-515565</v>
      </c>
      <c r="W26" s="10">
        <v>-469463</v>
      </c>
      <c r="X26" s="10">
        <v>-471974</v>
      </c>
      <c r="Y26" s="10">
        <v>-556207</v>
      </c>
      <c r="Z26" s="10">
        <v>-518571</v>
      </c>
      <c r="AA26" s="10">
        <v>-535746</v>
      </c>
      <c r="AB26" s="10">
        <v>-519516</v>
      </c>
      <c r="AC26" s="10">
        <v>-488060</v>
      </c>
      <c r="AD26" s="10">
        <v>-495178</v>
      </c>
      <c r="AE26" s="10">
        <v>-529182</v>
      </c>
    </row>
    <row r="27" spans="4:31" x14ac:dyDescent="0.3">
      <c r="D27" s="2">
        <v>-75</v>
      </c>
      <c r="E27" s="4">
        <f t="shared" si="2"/>
        <v>-45.847799999999999</v>
      </c>
      <c r="F27" s="4">
        <f t="shared" si="3"/>
        <v>-45.478000000000002</v>
      </c>
      <c r="G27" s="4">
        <f t="shared" si="4"/>
        <v>-46.1462</v>
      </c>
      <c r="H27" s="4">
        <f t="shared" si="5"/>
        <v>-57.452800000000003</v>
      </c>
      <c r="I27" s="4">
        <f t="shared" si="6"/>
        <v>-50.085100000000004</v>
      </c>
      <c r="J27" s="4">
        <f t="shared" si="7"/>
        <v>-50.7104</v>
      </c>
      <c r="K27" s="4">
        <f t="shared" si="10"/>
        <v>-50.046900000000001</v>
      </c>
      <c r="L27" s="4">
        <f t="shared" si="8"/>
        <v>-47.213700000000003</v>
      </c>
      <c r="M27" s="4">
        <f t="shared" si="1"/>
        <v>-47.496500000000005</v>
      </c>
      <c r="N27" s="4">
        <f t="shared" si="1"/>
        <v>-50.672600000000003</v>
      </c>
      <c r="P27" s="4">
        <f t="shared" si="9"/>
        <v>-49.115000000000002</v>
      </c>
      <c r="Q27" s="13"/>
      <c r="R27" s="7"/>
      <c r="S27" s="9">
        <v>105</v>
      </c>
      <c r="T27" s="5">
        <v>-476738</v>
      </c>
      <c r="U27" s="2">
        <v>22</v>
      </c>
      <c r="V27" s="10">
        <v>-458478</v>
      </c>
      <c r="W27" s="10">
        <v>-454780</v>
      </c>
      <c r="X27" s="10">
        <v>-461462</v>
      </c>
      <c r="Y27" s="10">
        <v>-574528</v>
      </c>
      <c r="Z27" s="10">
        <v>-500851</v>
      </c>
      <c r="AA27" s="10">
        <v>-507104</v>
      </c>
      <c r="AB27" s="10">
        <v>-500469</v>
      </c>
      <c r="AC27" s="10">
        <v>-472137</v>
      </c>
      <c r="AD27" s="10">
        <v>-474965</v>
      </c>
      <c r="AE27" s="10">
        <v>-506726</v>
      </c>
    </row>
    <row r="28" spans="4:31" x14ac:dyDescent="0.3">
      <c r="D28" s="2">
        <v>-70</v>
      </c>
      <c r="E28" s="4">
        <f t="shared" si="2"/>
        <v>-46.166900000000005</v>
      </c>
      <c r="F28" s="4">
        <f t="shared" si="3"/>
        <v>-44.991399999999999</v>
      </c>
      <c r="G28" s="4">
        <f t="shared" si="4"/>
        <v>-46.486600000000003</v>
      </c>
      <c r="H28" s="4">
        <f t="shared" si="5"/>
        <v>-57.366</v>
      </c>
      <c r="I28" s="4">
        <f t="shared" si="6"/>
        <v>-49.644800000000004</v>
      </c>
      <c r="J28" s="4">
        <f t="shared" si="7"/>
        <v>-51.297200000000004</v>
      </c>
      <c r="K28" s="4">
        <f t="shared" si="10"/>
        <v>-49.606999999999999</v>
      </c>
      <c r="L28" s="4">
        <f t="shared" si="8"/>
        <v>-46.788000000000004</v>
      </c>
      <c r="M28" s="4">
        <f t="shared" si="1"/>
        <v>-47.200500000000005</v>
      </c>
      <c r="N28" s="4">
        <f t="shared" si="1"/>
        <v>-50.183</v>
      </c>
      <c r="P28" s="4">
        <f t="shared" si="9"/>
        <v>-48.973140000000001</v>
      </c>
      <c r="Q28" s="13"/>
      <c r="R28" s="7"/>
      <c r="S28" s="9">
        <v>110</v>
      </c>
      <c r="T28" s="5">
        <v>-458368</v>
      </c>
      <c r="U28" s="2">
        <v>23</v>
      </c>
      <c r="V28" s="10">
        <v>-461669</v>
      </c>
      <c r="W28" s="10">
        <v>-449914</v>
      </c>
      <c r="X28" s="10">
        <v>-464866</v>
      </c>
      <c r="Y28" s="10">
        <v>-573660</v>
      </c>
      <c r="Z28" s="10">
        <v>-496448</v>
      </c>
      <c r="AA28" s="10">
        <v>-512972</v>
      </c>
      <c r="AB28" s="10">
        <v>-496070</v>
      </c>
      <c r="AC28" s="10">
        <v>-467880</v>
      </c>
      <c r="AD28" s="10">
        <v>-472005</v>
      </c>
      <c r="AE28" s="10">
        <v>-501830</v>
      </c>
    </row>
    <row r="29" spans="4:31" x14ac:dyDescent="0.3">
      <c r="D29" s="2">
        <v>-65</v>
      </c>
      <c r="E29" s="4">
        <f t="shared" si="2"/>
        <v>-47.105400000000003</v>
      </c>
      <c r="F29" s="4">
        <f t="shared" si="3"/>
        <v>-45.823900000000002</v>
      </c>
      <c r="G29" s="4">
        <f t="shared" si="4"/>
        <v>-49.258400000000002</v>
      </c>
      <c r="H29" s="4">
        <f t="shared" si="5"/>
        <v>-57.592300000000002</v>
      </c>
      <c r="I29" s="4">
        <f t="shared" si="6"/>
        <v>-50.867200000000004</v>
      </c>
      <c r="J29" s="4">
        <f t="shared" si="7"/>
        <v>-50.330200000000005</v>
      </c>
      <c r="K29" s="4">
        <f t="shared" si="10"/>
        <v>-50.883800000000001</v>
      </c>
      <c r="L29" s="4">
        <f t="shared" si="8"/>
        <v>-47.346400000000003</v>
      </c>
      <c r="M29" s="4">
        <f t="shared" si="1"/>
        <v>-48.837800000000001</v>
      </c>
      <c r="N29" s="4">
        <f t="shared" si="1"/>
        <v>-51.822000000000003</v>
      </c>
      <c r="P29" s="4">
        <f t="shared" si="9"/>
        <v>-49.986740000000005</v>
      </c>
      <c r="Q29" s="13"/>
      <c r="R29" s="7"/>
      <c r="S29" s="9">
        <v>115</v>
      </c>
      <c r="T29" s="5">
        <v>-450948</v>
      </c>
      <c r="U29" s="2">
        <v>24</v>
      </c>
      <c r="V29" s="10">
        <v>-471054</v>
      </c>
      <c r="W29" s="10">
        <v>-458239</v>
      </c>
      <c r="X29" s="10">
        <v>-492584</v>
      </c>
      <c r="Y29" s="10">
        <v>-575923</v>
      </c>
      <c r="Z29" s="10">
        <v>-508672</v>
      </c>
      <c r="AA29" s="10">
        <v>-503302</v>
      </c>
      <c r="AB29" s="10">
        <v>-508838</v>
      </c>
      <c r="AC29" s="10">
        <v>-473464</v>
      </c>
      <c r="AD29" s="10">
        <v>-488378</v>
      </c>
      <c r="AE29" s="10">
        <v>-518220</v>
      </c>
    </row>
    <row r="30" spans="4:31" x14ac:dyDescent="0.3">
      <c r="D30" s="2">
        <v>-60</v>
      </c>
      <c r="E30" s="4">
        <f t="shared" si="2"/>
        <v>-46.641100000000002</v>
      </c>
      <c r="F30" s="4">
        <f t="shared" si="3"/>
        <v>-46.576500000000003</v>
      </c>
      <c r="G30" s="4">
        <f t="shared" si="4"/>
        <v>-49.855900000000005</v>
      </c>
      <c r="H30" s="4">
        <f t="shared" si="5"/>
        <v>-57.130200000000002</v>
      </c>
      <c r="I30" s="4">
        <f t="shared" si="6"/>
        <v>-54.027300000000004</v>
      </c>
      <c r="J30" s="4">
        <f t="shared" si="7"/>
        <v>-53.323100000000004</v>
      </c>
      <c r="K30" s="4">
        <f t="shared" si="10"/>
        <v>-53.252700000000004</v>
      </c>
      <c r="L30" s="4">
        <f t="shared" si="8"/>
        <v>-49.426000000000002</v>
      </c>
      <c r="M30" s="4">
        <f t="shared" si="1"/>
        <v>-50.615100000000005</v>
      </c>
      <c r="N30" s="4">
        <f t="shared" si="1"/>
        <v>-51.9056</v>
      </c>
      <c r="P30" s="4">
        <f t="shared" si="9"/>
        <v>-51.275350000000003</v>
      </c>
      <c r="Q30" s="13"/>
      <c r="R30" s="7"/>
      <c r="S30" s="9">
        <v>120</v>
      </c>
      <c r="T30" s="5">
        <v>-435542</v>
      </c>
      <c r="U30" s="2">
        <v>25</v>
      </c>
      <c r="V30" s="10">
        <v>-466411</v>
      </c>
      <c r="W30" s="10">
        <v>-465765</v>
      </c>
      <c r="X30" s="10">
        <v>-498559</v>
      </c>
      <c r="Y30" s="10">
        <v>-571302</v>
      </c>
      <c r="Z30" s="10">
        <v>-540273</v>
      </c>
      <c r="AA30" s="10">
        <v>-533231</v>
      </c>
      <c r="AB30" s="10">
        <v>-532527</v>
      </c>
      <c r="AC30" s="10">
        <v>-494260</v>
      </c>
      <c r="AD30" s="10">
        <v>-506151</v>
      </c>
      <c r="AE30" s="10">
        <v>-519056</v>
      </c>
    </row>
    <row r="31" spans="4:31" x14ac:dyDescent="0.3">
      <c r="D31" s="2">
        <v>-55</v>
      </c>
      <c r="E31" s="4">
        <f t="shared" si="2"/>
        <v>-45.063800000000001</v>
      </c>
      <c r="F31" s="4">
        <f t="shared" si="3"/>
        <v>-45.756399999999999</v>
      </c>
      <c r="G31" s="4">
        <f t="shared" si="4"/>
        <v>-47.278500000000001</v>
      </c>
      <c r="H31" s="4">
        <f t="shared" si="5"/>
        <v>-51.093700000000005</v>
      </c>
      <c r="I31" s="4">
        <f t="shared" si="6"/>
        <v>-52.386000000000003</v>
      </c>
      <c r="J31" s="4">
        <f t="shared" si="7"/>
        <v>-51.884100000000004</v>
      </c>
      <c r="K31" s="4">
        <f t="shared" si="10"/>
        <v>-52.289700000000003</v>
      </c>
      <c r="L31" s="4">
        <f t="shared" si="8"/>
        <v>-52.230200000000004</v>
      </c>
      <c r="M31" s="4">
        <f t="shared" si="1"/>
        <v>-50.778300000000002</v>
      </c>
      <c r="N31" s="4">
        <f t="shared" si="1"/>
        <v>-49.5961</v>
      </c>
      <c r="P31" s="4">
        <f t="shared" si="9"/>
        <v>-49.835680000000004</v>
      </c>
      <c r="Q31" s="13"/>
      <c r="R31" s="7"/>
      <c r="S31" s="9">
        <v>125</v>
      </c>
      <c r="T31" s="5">
        <v>-393872</v>
      </c>
      <c r="U31" s="2">
        <v>26</v>
      </c>
      <c r="V31" s="10">
        <v>-450638</v>
      </c>
      <c r="W31" s="10">
        <v>-457564</v>
      </c>
      <c r="X31" s="10">
        <v>-472785</v>
      </c>
      <c r="Y31" s="10">
        <v>-510937</v>
      </c>
      <c r="Z31" s="10">
        <v>-523860</v>
      </c>
      <c r="AA31" s="10">
        <v>-518841</v>
      </c>
      <c r="AB31" s="10">
        <v>-522897</v>
      </c>
      <c r="AC31" s="10">
        <v>-522302</v>
      </c>
      <c r="AD31" s="10">
        <v>-507783</v>
      </c>
      <c r="AE31" s="10">
        <v>-495961</v>
      </c>
    </row>
    <row r="32" spans="4:31" x14ac:dyDescent="0.3">
      <c r="D32" s="2">
        <v>-50</v>
      </c>
      <c r="E32" s="4">
        <f t="shared" si="2"/>
        <v>-45.221800000000002</v>
      </c>
      <c r="F32" s="4">
        <f t="shared" si="3"/>
        <v>-43.735800000000005</v>
      </c>
      <c r="G32" s="4">
        <f t="shared" si="4"/>
        <v>-45.5276</v>
      </c>
      <c r="H32" s="4">
        <f t="shared" si="5"/>
        <v>-47.4086</v>
      </c>
      <c r="I32" s="4">
        <f t="shared" si="6"/>
        <v>-47.729800000000004</v>
      </c>
      <c r="J32" s="4">
        <f t="shared" si="7"/>
        <v>-47.505700000000004</v>
      </c>
      <c r="K32" s="4">
        <f t="shared" si="10"/>
        <v>-47.8874</v>
      </c>
      <c r="L32" s="4">
        <f t="shared" si="8"/>
        <v>-46.356400000000001</v>
      </c>
      <c r="M32" s="4">
        <f t="shared" si="1"/>
        <v>-47.947000000000003</v>
      </c>
      <c r="N32" s="4">
        <f t="shared" si="1"/>
        <v>-46.767600000000002</v>
      </c>
      <c r="P32" s="4">
        <f t="shared" si="9"/>
        <v>-46.608770000000007</v>
      </c>
      <c r="Q32" s="13"/>
      <c r="R32" s="7"/>
      <c r="S32" s="9">
        <v>130</v>
      </c>
      <c r="T32" s="5">
        <v>-348312</v>
      </c>
      <c r="U32" s="2">
        <v>27</v>
      </c>
      <c r="V32" s="10">
        <v>-452218</v>
      </c>
      <c r="W32" s="10">
        <v>-437358</v>
      </c>
      <c r="X32" s="10">
        <v>-455276</v>
      </c>
      <c r="Y32" s="10">
        <v>-474086</v>
      </c>
      <c r="Z32" s="10">
        <v>-477298</v>
      </c>
      <c r="AA32" s="10">
        <v>-475057</v>
      </c>
      <c r="AB32" s="10">
        <v>-478874</v>
      </c>
      <c r="AC32" s="10">
        <v>-463564</v>
      </c>
      <c r="AD32" s="10">
        <v>-479470</v>
      </c>
      <c r="AE32" s="10">
        <v>-467676</v>
      </c>
    </row>
    <row r="33" spans="4:31" x14ac:dyDescent="0.3">
      <c r="D33" s="2">
        <v>-45</v>
      </c>
      <c r="E33" s="4">
        <f t="shared" si="2"/>
        <v>-42.378399999999999</v>
      </c>
      <c r="F33" s="4">
        <f t="shared" si="3"/>
        <v>-41.814100000000003</v>
      </c>
      <c r="G33" s="4">
        <f t="shared" si="4"/>
        <v>-43.214600000000004</v>
      </c>
      <c r="H33" s="4">
        <f t="shared" si="5"/>
        <v>-43.436100000000003</v>
      </c>
      <c r="I33" s="4">
        <f t="shared" si="6"/>
        <v>-43.935300000000005</v>
      </c>
      <c r="J33" s="4">
        <f t="shared" si="7"/>
        <v>-44.796100000000003</v>
      </c>
      <c r="K33" s="4">
        <f t="shared" si="10"/>
        <v>-44.204700000000003</v>
      </c>
      <c r="L33" s="4">
        <f t="shared" si="8"/>
        <v>-43.3279</v>
      </c>
      <c r="M33" s="4">
        <f t="shared" si="1"/>
        <v>-43.740700000000004</v>
      </c>
      <c r="N33" s="4">
        <f t="shared" si="1"/>
        <v>-42.855900000000005</v>
      </c>
      <c r="P33" s="4">
        <f t="shared" si="9"/>
        <v>-43.370380000000004</v>
      </c>
      <c r="Q33" s="13"/>
      <c r="R33" s="7"/>
      <c r="S33" s="9">
        <v>135</v>
      </c>
      <c r="T33" s="5">
        <v>-306649</v>
      </c>
      <c r="U33" s="2">
        <v>28</v>
      </c>
      <c r="V33" s="10">
        <v>-423784</v>
      </c>
      <c r="W33" s="10">
        <v>-418141</v>
      </c>
      <c r="X33" s="10">
        <v>-432146</v>
      </c>
      <c r="Y33" s="10">
        <v>-434361</v>
      </c>
      <c r="Z33" s="10">
        <v>-439353</v>
      </c>
      <c r="AA33" s="10">
        <v>-447961</v>
      </c>
      <c r="AB33" s="10">
        <v>-442047</v>
      </c>
      <c r="AC33" s="10">
        <v>-433279</v>
      </c>
      <c r="AD33" s="10">
        <v>-437407</v>
      </c>
      <c r="AE33" s="10">
        <v>-428559</v>
      </c>
    </row>
    <row r="34" spans="4:31" x14ac:dyDescent="0.3">
      <c r="D34" s="2">
        <v>-40</v>
      </c>
      <c r="E34" s="4">
        <f t="shared" si="2"/>
        <v>-39.286700000000003</v>
      </c>
      <c r="F34" s="4">
        <f t="shared" si="3"/>
        <v>-40.429300000000005</v>
      </c>
      <c r="G34" s="4">
        <f t="shared" si="4"/>
        <v>-41.478700000000003</v>
      </c>
      <c r="H34" s="4">
        <f t="shared" si="5"/>
        <v>-41.121200000000002</v>
      </c>
      <c r="I34" s="4">
        <f t="shared" si="6"/>
        <v>-41.872300000000003</v>
      </c>
      <c r="J34" s="4">
        <f t="shared" si="7"/>
        <v>-43.076599999999999</v>
      </c>
      <c r="K34" s="4">
        <f t="shared" si="10"/>
        <v>-41.651499999999999</v>
      </c>
      <c r="L34" s="4">
        <f t="shared" si="8"/>
        <v>-41.2014</v>
      </c>
      <c r="M34" s="4">
        <f t="shared" si="1"/>
        <v>-41.002600000000001</v>
      </c>
      <c r="N34" s="4">
        <f t="shared" si="1"/>
        <v>-41.209099999999999</v>
      </c>
      <c r="P34" s="4">
        <f t="shared" si="9"/>
        <v>-41.232939999999992</v>
      </c>
      <c r="Q34" s="13"/>
      <c r="R34" s="7"/>
      <c r="S34" s="9">
        <v>140</v>
      </c>
      <c r="T34" s="5">
        <v>-271789</v>
      </c>
      <c r="U34" s="2">
        <v>29</v>
      </c>
      <c r="V34" s="10">
        <v>-392867</v>
      </c>
      <c r="W34" s="10">
        <v>-404293</v>
      </c>
      <c r="X34" s="10">
        <v>-414787</v>
      </c>
      <c r="Y34" s="10">
        <v>-411212</v>
      </c>
      <c r="Z34" s="10">
        <v>-418723</v>
      </c>
      <c r="AA34" s="10">
        <v>-430766</v>
      </c>
      <c r="AB34" s="10">
        <v>-416515</v>
      </c>
      <c r="AC34" s="10">
        <v>-412014</v>
      </c>
      <c r="AD34" s="10">
        <v>-410026</v>
      </c>
      <c r="AE34" s="10">
        <v>-412091</v>
      </c>
    </row>
    <row r="35" spans="4:31" x14ac:dyDescent="0.3">
      <c r="D35" s="2">
        <v>-35</v>
      </c>
      <c r="E35" s="4">
        <f t="shared" si="2"/>
        <v>-38.4846</v>
      </c>
      <c r="F35" s="4">
        <f t="shared" si="3"/>
        <v>-40.589100000000002</v>
      </c>
      <c r="G35" s="4">
        <f t="shared" si="4"/>
        <v>-40.7943</v>
      </c>
      <c r="H35" s="4">
        <f t="shared" si="5"/>
        <v>-39.477499999999999</v>
      </c>
      <c r="I35" s="4">
        <f t="shared" si="6"/>
        <v>-39.917100000000005</v>
      </c>
      <c r="J35" s="4">
        <f t="shared" si="7"/>
        <v>-40.886099999999999</v>
      </c>
      <c r="K35" s="4">
        <f t="shared" si="10"/>
        <v>-39.893900000000002</v>
      </c>
      <c r="L35" s="4">
        <f t="shared" si="8"/>
        <v>-39.512700000000002</v>
      </c>
      <c r="M35" s="4">
        <f t="shared" si="1"/>
        <v>-39.212200000000003</v>
      </c>
      <c r="N35" s="4">
        <f t="shared" si="1"/>
        <v>-39.499099999999999</v>
      </c>
      <c r="P35" s="4">
        <f t="shared" si="9"/>
        <v>-39.826659999999997</v>
      </c>
      <c r="Q35" s="13"/>
      <c r="R35" s="7"/>
      <c r="S35" s="9">
        <v>145</v>
      </c>
      <c r="T35" s="5">
        <v>-246722</v>
      </c>
      <c r="U35" s="2">
        <v>30</v>
      </c>
      <c r="V35" s="10">
        <v>-384846</v>
      </c>
      <c r="W35" s="10">
        <v>-405891</v>
      </c>
      <c r="X35" s="10">
        <v>-407943</v>
      </c>
      <c r="Y35" s="10">
        <v>-394775</v>
      </c>
      <c r="Z35" s="10">
        <v>-399171</v>
      </c>
      <c r="AA35" s="10">
        <v>-408861</v>
      </c>
      <c r="AB35" s="10">
        <v>-398939</v>
      </c>
      <c r="AC35" s="10">
        <v>-395127</v>
      </c>
      <c r="AD35" s="10">
        <v>-392122</v>
      </c>
      <c r="AE35" s="10">
        <v>-394991</v>
      </c>
    </row>
    <row r="36" spans="4:31" x14ac:dyDescent="0.3">
      <c r="D36" s="2">
        <v>-30</v>
      </c>
      <c r="E36" s="4">
        <f t="shared" si="2"/>
        <v>-38.025400000000005</v>
      </c>
      <c r="F36" s="4">
        <f t="shared" si="3"/>
        <v>-39.509900000000002</v>
      </c>
      <c r="G36" s="4">
        <f t="shared" si="4"/>
        <v>-39.6098</v>
      </c>
      <c r="H36" s="4">
        <f t="shared" si="5"/>
        <v>-37.861699999999999</v>
      </c>
      <c r="I36" s="4">
        <f t="shared" si="6"/>
        <v>-38.854100000000003</v>
      </c>
      <c r="J36" s="4">
        <f t="shared" si="7"/>
        <v>-38.206600000000002</v>
      </c>
      <c r="K36" s="4">
        <f t="shared" si="10"/>
        <v>-38.628399999999999</v>
      </c>
      <c r="L36" s="4">
        <f t="shared" si="8"/>
        <v>-38.328099999999999</v>
      </c>
      <c r="M36" s="4">
        <f t="shared" si="1"/>
        <v>-38.110800000000005</v>
      </c>
      <c r="N36" s="4">
        <f t="shared" si="1"/>
        <v>-38.198500000000003</v>
      </c>
      <c r="P36" s="4">
        <f t="shared" si="9"/>
        <v>-38.533330000000007</v>
      </c>
      <c r="Q36" s="13"/>
      <c r="R36" s="7"/>
      <c r="S36" s="9">
        <v>150</v>
      </c>
      <c r="T36" s="5">
        <v>-228364</v>
      </c>
      <c r="U36" s="2">
        <v>31</v>
      </c>
      <c r="V36" s="10">
        <v>-380254</v>
      </c>
      <c r="W36" s="10">
        <v>-395099</v>
      </c>
      <c r="X36" s="10">
        <v>-396098</v>
      </c>
      <c r="Y36" s="10">
        <v>-378617</v>
      </c>
      <c r="Z36" s="10">
        <v>-388541</v>
      </c>
      <c r="AA36" s="10">
        <v>-382066</v>
      </c>
      <c r="AB36" s="10">
        <v>-386284</v>
      </c>
      <c r="AC36" s="10">
        <v>-383281</v>
      </c>
      <c r="AD36" s="10">
        <v>-381108</v>
      </c>
      <c r="AE36" s="10">
        <v>-381985</v>
      </c>
    </row>
    <row r="37" spans="4:31" x14ac:dyDescent="0.3">
      <c r="D37" s="2">
        <v>-25</v>
      </c>
      <c r="E37" s="4">
        <f t="shared" si="2"/>
        <v>-35.918600000000005</v>
      </c>
      <c r="F37" s="4">
        <f t="shared" si="3"/>
        <v>-38.792999999999999</v>
      </c>
      <c r="G37" s="4">
        <f t="shared" si="4"/>
        <v>-38.933100000000003</v>
      </c>
      <c r="H37" s="4">
        <f t="shared" si="5"/>
        <v>-37.600999999999999</v>
      </c>
      <c r="I37" s="4">
        <f t="shared" si="6"/>
        <v>-37.839700000000001</v>
      </c>
      <c r="J37" s="4">
        <f t="shared" si="7"/>
        <v>-37.513800000000003</v>
      </c>
      <c r="K37" s="4">
        <f t="shared" si="10"/>
        <v>-37.818600000000004</v>
      </c>
      <c r="L37" s="4">
        <f t="shared" si="8"/>
        <v>-37.6203</v>
      </c>
      <c r="M37" s="4">
        <f t="shared" si="1"/>
        <v>-37.445100000000004</v>
      </c>
      <c r="N37" s="4">
        <f t="shared" si="1"/>
        <v>-37.094999999999999</v>
      </c>
      <c r="P37" s="4">
        <f t="shared" si="9"/>
        <v>-37.657820000000001</v>
      </c>
      <c r="Q37" s="13"/>
      <c r="R37" s="7"/>
      <c r="S37" s="9">
        <v>155</v>
      </c>
      <c r="T37" s="5">
        <v>-210755</v>
      </c>
      <c r="U37" s="2">
        <v>32</v>
      </c>
      <c r="V37" s="10">
        <v>-359186</v>
      </c>
      <c r="W37" s="10">
        <v>-387930</v>
      </c>
      <c r="X37" s="10">
        <v>-389331</v>
      </c>
      <c r="Y37" s="10">
        <v>-376010</v>
      </c>
      <c r="Z37" s="10">
        <v>-378397</v>
      </c>
      <c r="AA37" s="10">
        <v>-375138</v>
      </c>
      <c r="AB37" s="10">
        <v>-378186</v>
      </c>
      <c r="AC37" s="10">
        <v>-376203</v>
      </c>
      <c r="AD37" s="10">
        <v>-374451</v>
      </c>
      <c r="AE37" s="10">
        <v>-370950</v>
      </c>
    </row>
    <row r="38" spans="4:31" x14ac:dyDescent="0.3">
      <c r="D38" s="2">
        <v>-20</v>
      </c>
      <c r="E38" s="4">
        <f t="shared" si="2"/>
        <v>-36.026600000000002</v>
      </c>
      <c r="F38" s="4">
        <f t="shared" si="3"/>
        <v>-38.428000000000004</v>
      </c>
      <c r="G38" s="4">
        <f t="shared" si="4"/>
        <v>-38.555</v>
      </c>
      <c r="H38" s="4">
        <f t="shared" si="5"/>
        <v>-37.363199999999999</v>
      </c>
      <c r="I38" s="4">
        <f t="shared" si="6"/>
        <v>-37.181699999999999</v>
      </c>
      <c r="J38" s="4">
        <f t="shared" si="7"/>
        <v>-37.244</v>
      </c>
      <c r="K38" s="4">
        <f t="shared" si="10"/>
        <v>-37.262700000000002</v>
      </c>
      <c r="L38" s="4">
        <f t="shared" si="8"/>
        <v>-37.127400000000002</v>
      </c>
      <c r="M38" s="4">
        <f t="shared" si="1"/>
        <v>-37.034800000000004</v>
      </c>
      <c r="N38" s="4">
        <f t="shared" si="1"/>
        <v>-37.0167</v>
      </c>
      <c r="P38" s="4">
        <f t="shared" si="9"/>
        <v>-37.324010000000008</v>
      </c>
      <c r="Q38" s="13"/>
      <c r="R38" s="7"/>
      <c r="S38" s="9">
        <v>160</v>
      </c>
      <c r="T38" s="5">
        <v>-199126</v>
      </c>
      <c r="U38" s="2">
        <v>33</v>
      </c>
      <c r="V38" s="10">
        <v>-360266</v>
      </c>
      <c r="W38" s="10">
        <v>-384280</v>
      </c>
      <c r="X38" s="10">
        <v>-385550</v>
      </c>
      <c r="Y38" s="10">
        <v>-373632</v>
      </c>
      <c r="Z38" s="10">
        <v>-371817</v>
      </c>
      <c r="AA38" s="10">
        <v>-372440</v>
      </c>
      <c r="AB38" s="10">
        <v>-372627</v>
      </c>
      <c r="AC38" s="10">
        <v>-371274</v>
      </c>
      <c r="AD38" s="10">
        <v>-370348</v>
      </c>
      <c r="AE38" s="10">
        <v>-370167</v>
      </c>
    </row>
    <row r="39" spans="4:31" x14ac:dyDescent="0.3">
      <c r="D39" s="2">
        <v>-15</v>
      </c>
      <c r="E39" s="4">
        <f t="shared" si="2"/>
        <v>-35.640500000000003</v>
      </c>
      <c r="F39" s="4">
        <f t="shared" si="3"/>
        <v>-38.422600000000003</v>
      </c>
      <c r="G39" s="4">
        <f t="shared" si="4"/>
        <v>-38.549500000000002</v>
      </c>
      <c r="H39" s="4">
        <f t="shared" si="5"/>
        <v>-37.092300000000002</v>
      </c>
      <c r="I39" s="4">
        <f t="shared" si="6"/>
        <v>-36.957300000000004</v>
      </c>
      <c r="J39" s="4">
        <f t="shared" si="7"/>
        <v>-37.404600000000002</v>
      </c>
      <c r="K39" s="4">
        <f t="shared" si="10"/>
        <v>-37.089600000000004</v>
      </c>
      <c r="L39" s="4">
        <f t="shared" si="8"/>
        <v>-37.068200000000004</v>
      </c>
      <c r="M39" s="4">
        <f t="shared" si="1"/>
        <v>-37.0276</v>
      </c>
      <c r="N39" s="4">
        <f t="shared" si="1"/>
        <v>-37.078800000000001</v>
      </c>
      <c r="P39" s="4">
        <f t="shared" si="9"/>
        <v>-37.2331</v>
      </c>
      <c r="Q39" s="13"/>
      <c r="R39" s="7"/>
      <c r="S39" s="9">
        <v>165</v>
      </c>
      <c r="T39" s="5">
        <v>-190573</v>
      </c>
      <c r="U39" s="2">
        <v>34</v>
      </c>
      <c r="V39" s="10">
        <v>-356405</v>
      </c>
      <c r="W39" s="10">
        <v>-384226</v>
      </c>
      <c r="X39" s="10">
        <v>-385495</v>
      </c>
      <c r="Y39" s="10">
        <v>-370923</v>
      </c>
      <c r="Z39" s="10">
        <v>-369573</v>
      </c>
      <c r="AA39" s="10">
        <v>-374046</v>
      </c>
      <c r="AB39" s="10">
        <v>-370896</v>
      </c>
      <c r="AC39" s="10">
        <v>-370682</v>
      </c>
      <c r="AD39" s="10">
        <v>-370276</v>
      </c>
      <c r="AE39" s="10">
        <v>-370788</v>
      </c>
    </row>
    <row r="40" spans="4:31" x14ac:dyDescent="0.3">
      <c r="D40" s="2">
        <v>-10</v>
      </c>
      <c r="E40" s="4">
        <f t="shared" si="2"/>
        <v>-36.040199999999999</v>
      </c>
      <c r="F40" s="4">
        <f t="shared" si="3"/>
        <v>-38.540400000000005</v>
      </c>
      <c r="G40" s="4">
        <f t="shared" si="4"/>
        <v>-39.328000000000003</v>
      </c>
      <c r="H40" s="4">
        <f t="shared" si="5"/>
        <v>-37.132800000000003</v>
      </c>
      <c r="I40" s="4">
        <f t="shared" si="6"/>
        <v>-37.087000000000003</v>
      </c>
      <c r="J40" s="4">
        <f t="shared" si="7"/>
        <v>-37.553699999999999</v>
      </c>
      <c r="K40" s="4">
        <f t="shared" si="10"/>
        <v>-37.2089</v>
      </c>
      <c r="L40" s="4">
        <f t="shared" si="8"/>
        <v>-37.306200000000004</v>
      </c>
      <c r="M40" s="4">
        <f t="shared" si="1"/>
        <v>-37.3446</v>
      </c>
      <c r="N40" s="4">
        <f t="shared" si="1"/>
        <v>-37.308599999999998</v>
      </c>
      <c r="P40" s="4">
        <f t="shared" si="9"/>
        <v>-37.485039999999998</v>
      </c>
      <c r="Q40" s="13"/>
      <c r="R40" s="7"/>
      <c r="S40" s="9">
        <v>170</v>
      </c>
      <c r="T40" s="5">
        <v>-182096</v>
      </c>
      <c r="U40" s="2">
        <v>35</v>
      </c>
      <c r="V40" s="10">
        <v>-360402</v>
      </c>
      <c r="W40" s="10">
        <v>-385404</v>
      </c>
      <c r="X40" s="10">
        <v>-393280</v>
      </c>
      <c r="Y40" s="10">
        <v>-371328</v>
      </c>
      <c r="Z40" s="10">
        <v>-370870</v>
      </c>
      <c r="AA40" s="10">
        <v>-375537</v>
      </c>
      <c r="AB40" s="10">
        <v>-372089</v>
      </c>
      <c r="AC40" s="10">
        <v>-373062</v>
      </c>
      <c r="AD40" s="10">
        <v>-373446</v>
      </c>
      <c r="AE40" s="10">
        <v>-373086</v>
      </c>
    </row>
    <row r="41" spans="4:31" x14ac:dyDescent="0.3">
      <c r="D41" s="2">
        <v>-5</v>
      </c>
      <c r="E41" s="4">
        <f t="shared" si="2"/>
        <v>-37.208400000000005</v>
      </c>
      <c r="F41" s="4">
        <f t="shared" si="3"/>
        <v>-39.178699999999999</v>
      </c>
      <c r="G41" s="4">
        <f t="shared" si="4"/>
        <v>-39.845800000000004</v>
      </c>
      <c r="H41" s="4">
        <f t="shared" si="5"/>
        <v>-38.041899999999998</v>
      </c>
      <c r="I41" s="4">
        <f t="shared" si="6"/>
        <v>-37.729500000000002</v>
      </c>
      <c r="J41" s="4">
        <f t="shared" si="7"/>
        <v>-38.079700000000003</v>
      </c>
      <c r="K41" s="4">
        <f t="shared" si="10"/>
        <v>-37.840700000000005</v>
      </c>
      <c r="L41" s="4">
        <f t="shared" si="8"/>
        <v>-38.160699999999999</v>
      </c>
      <c r="M41" s="4">
        <f t="shared" si="1"/>
        <v>-37.921900000000001</v>
      </c>
      <c r="N41" s="4">
        <f t="shared" si="1"/>
        <v>-37.846400000000003</v>
      </c>
      <c r="P41" s="4">
        <f t="shared" si="9"/>
        <v>-38.185370000000006</v>
      </c>
      <c r="Q41" s="13"/>
      <c r="R41" s="7"/>
      <c r="S41" s="9">
        <v>175</v>
      </c>
      <c r="T41" s="5">
        <v>-178731</v>
      </c>
      <c r="U41" s="2">
        <v>36</v>
      </c>
      <c r="V41" s="10">
        <v>-372084</v>
      </c>
      <c r="W41" s="10">
        <v>-391787</v>
      </c>
      <c r="X41" s="10">
        <v>-398458</v>
      </c>
      <c r="Y41" s="10">
        <v>-380419</v>
      </c>
      <c r="Z41" s="10">
        <v>-377295</v>
      </c>
      <c r="AA41" s="10">
        <v>-380797</v>
      </c>
      <c r="AB41" s="10">
        <v>-378407</v>
      </c>
      <c r="AC41" s="10">
        <v>-381607</v>
      </c>
      <c r="AD41" s="10">
        <v>-379219</v>
      </c>
      <c r="AE41" s="10">
        <v>-378464</v>
      </c>
    </row>
    <row r="42" spans="4:31" x14ac:dyDescent="0.3">
      <c r="D42" s="2">
        <v>0</v>
      </c>
      <c r="E42" s="4">
        <f t="shared" si="2"/>
        <v>-38.9542</v>
      </c>
      <c r="F42" s="4">
        <f t="shared" si="3"/>
        <v>-39.965000000000003</v>
      </c>
      <c r="G42" s="4">
        <f t="shared" si="4"/>
        <v>-40.915800000000004</v>
      </c>
      <c r="H42" s="4">
        <f t="shared" si="5"/>
        <v>-38.9602</v>
      </c>
      <c r="I42" s="4">
        <f t="shared" si="6"/>
        <v>-38.582300000000004</v>
      </c>
      <c r="J42" s="4">
        <f t="shared" si="7"/>
        <v>-38.759399999999999</v>
      </c>
      <c r="K42" s="4">
        <f t="shared" si="10"/>
        <v>-38.748800000000003</v>
      </c>
      <c r="L42" s="4">
        <f t="shared" si="8"/>
        <v>-39.114800000000002</v>
      </c>
      <c r="M42" s="4">
        <f t="shared" si="1"/>
        <v>-38.743099999999998</v>
      </c>
      <c r="N42" s="4">
        <f t="shared" si="1"/>
        <v>-38.658300000000004</v>
      </c>
      <c r="P42" s="4">
        <f t="shared" si="9"/>
        <v>-39.140190000000004</v>
      </c>
      <c r="Q42" s="13"/>
      <c r="R42" s="7"/>
      <c r="S42" s="9">
        <v>180</v>
      </c>
      <c r="T42" s="5">
        <v>-182061</v>
      </c>
      <c r="U42" s="2">
        <v>37</v>
      </c>
      <c r="V42" s="10">
        <v>-389542</v>
      </c>
      <c r="W42" s="10">
        <v>-399650</v>
      </c>
      <c r="X42" s="10">
        <v>-409158</v>
      </c>
      <c r="Y42" s="10">
        <v>-389602</v>
      </c>
      <c r="Z42" s="10">
        <v>-385823</v>
      </c>
      <c r="AA42" s="10">
        <v>-387594</v>
      </c>
      <c r="AB42" s="10">
        <v>-387488</v>
      </c>
      <c r="AC42" s="10">
        <v>-391148</v>
      </c>
      <c r="AD42" s="10">
        <v>-387431</v>
      </c>
      <c r="AE42" s="10">
        <v>-386583</v>
      </c>
    </row>
    <row r="43" spans="4:31" x14ac:dyDescent="0.3">
      <c r="D43" s="2">
        <v>5</v>
      </c>
      <c r="E43" s="4">
        <f t="shared" si="2"/>
        <v>-40.410499999999999</v>
      </c>
      <c r="F43" s="4">
        <f t="shared" si="3"/>
        <v>-41.135000000000005</v>
      </c>
      <c r="G43" s="4">
        <f t="shared" si="4"/>
        <v>-40.694400000000002</v>
      </c>
      <c r="H43" s="4">
        <f t="shared" si="5"/>
        <v>-41.118500000000004</v>
      </c>
      <c r="I43" s="4">
        <f t="shared" si="6"/>
        <v>-40.940100000000001</v>
      </c>
      <c r="J43" s="4">
        <f t="shared" si="7"/>
        <v>-40.661999999999999</v>
      </c>
      <c r="K43" s="4">
        <f t="shared" si="10"/>
        <v>-40.332500000000003</v>
      </c>
      <c r="L43" s="4">
        <f t="shared" si="8"/>
        <v>-40.501600000000003</v>
      </c>
      <c r="M43" s="4">
        <f t="shared" si="1"/>
        <v>-40.643100000000004</v>
      </c>
      <c r="N43" s="4">
        <f t="shared" si="1"/>
        <v>-40.258700000000005</v>
      </c>
      <c r="P43" s="4">
        <f t="shared" si="9"/>
        <v>-40.669640000000001</v>
      </c>
      <c r="Q43" s="13"/>
      <c r="R43" s="7"/>
      <c r="S43" s="9">
        <v>185</v>
      </c>
      <c r="T43" s="5">
        <v>-179172</v>
      </c>
      <c r="U43" s="2">
        <v>38</v>
      </c>
      <c r="V43" s="10">
        <v>-404105</v>
      </c>
      <c r="W43" s="10">
        <v>-411350</v>
      </c>
      <c r="X43" s="10">
        <v>-406944</v>
      </c>
      <c r="Y43" s="10">
        <v>-411185</v>
      </c>
      <c r="Z43" s="10">
        <v>-409401</v>
      </c>
      <c r="AA43" s="10">
        <v>-406620</v>
      </c>
      <c r="AB43" s="10">
        <v>-403325</v>
      </c>
      <c r="AC43" s="10">
        <v>-405016</v>
      </c>
      <c r="AD43" s="10">
        <v>-406431</v>
      </c>
      <c r="AE43" s="10">
        <v>-402587</v>
      </c>
    </row>
    <row r="44" spans="4:31" x14ac:dyDescent="0.3">
      <c r="D44" s="2">
        <v>10</v>
      </c>
      <c r="E44" s="4">
        <f t="shared" si="2"/>
        <v>-41.890599999999999</v>
      </c>
      <c r="F44" s="4">
        <f t="shared" si="3"/>
        <v>-43.146799999999999</v>
      </c>
      <c r="G44" s="4">
        <f t="shared" si="4"/>
        <v>-42.340600000000002</v>
      </c>
      <c r="H44" s="4">
        <f t="shared" si="5"/>
        <v>-42.100300000000004</v>
      </c>
      <c r="I44" s="4">
        <f t="shared" si="6"/>
        <v>-43.0518</v>
      </c>
      <c r="J44" s="4">
        <f t="shared" si="7"/>
        <v>-42.365200000000002</v>
      </c>
      <c r="K44" s="4">
        <f t="shared" si="10"/>
        <v>-42.135400000000004</v>
      </c>
      <c r="L44" s="4">
        <f t="shared" si="8"/>
        <v>-42.329799999999999</v>
      </c>
      <c r="M44" s="4">
        <f t="shared" si="1"/>
        <v>-42.435400000000001</v>
      </c>
      <c r="N44" s="4">
        <f t="shared" si="1"/>
        <v>-42.084099999999999</v>
      </c>
      <c r="P44" s="4">
        <f t="shared" si="9"/>
        <v>-42.387999999999998</v>
      </c>
      <c r="Q44" s="13"/>
      <c r="R44" s="7"/>
      <c r="S44" s="9">
        <v>190</v>
      </c>
      <c r="T44" s="5">
        <v>-180904</v>
      </c>
      <c r="U44" s="2">
        <v>39</v>
      </c>
      <c r="V44" s="10">
        <v>-418906</v>
      </c>
      <c r="W44" s="10">
        <v>-431468</v>
      </c>
      <c r="X44" s="10">
        <v>-423406</v>
      </c>
      <c r="Y44" s="10">
        <v>-421003</v>
      </c>
      <c r="Z44" s="10">
        <v>-430518</v>
      </c>
      <c r="AA44" s="10">
        <v>-423652</v>
      </c>
      <c r="AB44" s="10">
        <v>-421354</v>
      </c>
      <c r="AC44" s="10">
        <v>-423298</v>
      </c>
      <c r="AD44" s="10">
        <v>-424354</v>
      </c>
      <c r="AE44" s="10">
        <v>-420841</v>
      </c>
    </row>
    <row r="45" spans="4:31" x14ac:dyDescent="0.3">
      <c r="D45" s="2">
        <v>15</v>
      </c>
      <c r="E45" s="4">
        <f t="shared" si="2"/>
        <v>-43.941600000000001</v>
      </c>
      <c r="F45" s="4">
        <f t="shared" si="3"/>
        <v>-45.151800000000001</v>
      </c>
      <c r="G45" s="4">
        <f t="shared" si="4"/>
        <v>-43.8874</v>
      </c>
      <c r="H45" s="4">
        <f t="shared" si="5"/>
        <v>-45.203400000000002</v>
      </c>
      <c r="I45" s="4">
        <f t="shared" si="6"/>
        <v>-45.679100000000005</v>
      </c>
      <c r="J45" s="4">
        <f t="shared" si="7"/>
        <v>-44.774700000000003</v>
      </c>
      <c r="K45" s="4">
        <f t="shared" si="10"/>
        <v>-44.060400000000001</v>
      </c>
      <c r="L45" s="4">
        <f t="shared" si="8"/>
        <v>-44.5854</v>
      </c>
      <c r="M45" s="4">
        <f t="shared" si="1"/>
        <v>-44.183600000000006</v>
      </c>
      <c r="N45" s="4">
        <f t="shared" si="1"/>
        <v>-44.084700000000005</v>
      </c>
      <c r="P45" s="4">
        <f t="shared" si="9"/>
        <v>-44.555210000000002</v>
      </c>
      <c r="Q45" s="13"/>
      <c r="R45" s="7"/>
      <c r="S45" s="9">
        <v>195</v>
      </c>
      <c r="T45" s="5">
        <v>-192248</v>
      </c>
      <c r="U45" s="2">
        <v>40</v>
      </c>
      <c r="V45" s="10">
        <v>-439416</v>
      </c>
      <c r="W45" s="10">
        <v>-451518</v>
      </c>
      <c r="X45" s="10">
        <v>-438874</v>
      </c>
      <c r="Y45" s="10">
        <v>-452034</v>
      </c>
      <c r="Z45" s="10">
        <v>-456791</v>
      </c>
      <c r="AA45" s="10">
        <v>-447747</v>
      </c>
      <c r="AB45" s="10">
        <v>-440604</v>
      </c>
      <c r="AC45" s="10">
        <v>-445854</v>
      </c>
      <c r="AD45" s="10">
        <v>-441836</v>
      </c>
      <c r="AE45" s="10">
        <v>-440847</v>
      </c>
    </row>
    <row r="46" spans="4:31" x14ac:dyDescent="0.3">
      <c r="D46" s="2">
        <v>20</v>
      </c>
      <c r="E46" s="4">
        <f t="shared" si="2"/>
        <v>-46.04</v>
      </c>
      <c r="F46" s="4">
        <f t="shared" si="3"/>
        <v>-48.0032</v>
      </c>
      <c r="G46" s="4">
        <f t="shared" si="4"/>
        <v>-45.345700000000001</v>
      </c>
      <c r="H46" s="4">
        <f t="shared" si="5"/>
        <v>-44.334299999999999</v>
      </c>
      <c r="I46" s="4">
        <f t="shared" si="6"/>
        <v>-48.195800000000006</v>
      </c>
      <c r="J46" s="4">
        <f t="shared" si="7"/>
        <v>-47.435900000000004</v>
      </c>
      <c r="K46" s="4">
        <f t="shared" si="10"/>
        <v>-46.279000000000003</v>
      </c>
      <c r="L46" s="4">
        <f t="shared" si="8"/>
        <v>-46.900400000000005</v>
      </c>
      <c r="M46" s="4">
        <f t="shared" si="1"/>
        <v>-46.3718</v>
      </c>
      <c r="N46" s="4">
        <f t="shared" si="1"/>
        <v>-46.300699999999999</v>
      </c>
      <c r="P46" s="4">
        <f t="shared" si="9"/>
        <v>-46.520680000000006</v>
      </c>
      <c r="Q46" s="13"/>
      <c r="R46" s="7"/>
      <c r="S46" s="9">
        <v>200</v>
      </c>
      <c r="T46" s="5">
        <v>-203124</v>
      </c>
      <c r="U46" s="2">
        <v>41</v>
      </c>
      <c r="V46" s="10">
        <v>-460400</v>
      </c>
      <c r="W46" s="10">
        <v>-480032</v>
      </c>
      <c r="X46" s="10">
        <v>-453457</v>
      </c>
      <c r="Y46" s="10">
        <v>-443343</v>
      </c>
      <c r="Z46" s="10">
        <v>-481958</v>
      </c>
      <c r="AA46" s="10">
        <v>-474359</v>
      </c>
      <c r="AB46" s="10">
        <v>-462790</v>
      </c>
      <c r="AC46" s="10">
        <v>-469004</v>
      </c>
      <c r="AD46" s="10">
        <v>-463718</v>
      </c>
      <c r="AE46" s="10">
        <v>-463007</v>
      </c>
    </row>
    <row r="47" spans="4:31" x14ac:dyDescent="0.3">
      <c r="D47" s="2">
        <v>25</v>
      </c>
      <c r="E47" s="4">
        <f t="shared" si="2"/>
        <v>-49.458400000000005</v>
      </c>
      <c r="F47" s="4">
        <f t="shared" si="3"/>
        <v>-51.0627</v>
      </c>
      <c r="G47" s="4">
        <f t="shared" si="4"/>
        <v>-46.997600000000006</v>
      </c>
      <c r="H47" s="4">
        <f t="shared" si="5"/>
        <v>-45.872600000000006</v>
      </c>
      <c r="I47" s="4">
        <f t="shared" si="6"/>
        <v>-51.571300000000001</v>
      </c>
      <c r="J47" s="4">
        <f t="shared" si="7"/>
        <v>-50.359400000000001</v>
      </c>
      <c r="K47" s="4">
        <f t="shared" si="10"/>
        <v>-48.884500000000003</v>
      </c>
      <c r="L47" s="4">
        <f t="shared" si="8"/>
        <v>-48.914500000000004</v>
      </c>
      <c r="M47" s="4">
        <f t="shared" si="1"/>
        <v>-48.792300000000004</v>
      </c>
      <c r="N47" s="4">
        <f t="shared" si="1"/>
        <v>-48.980000000000004</v>
      </c>
      <c r="P47" s="4">
        <f t="shared" si="9"/>
        <v>-49.089330000000011</v>
      </c>
      <c r="Q47" s="13"/>
      <c r="R47" s="7"/>
      <c r="S47" s="9">
        <v>205</v>
      </c>
      <c r="T47" s="5">
        <v>-219387</v>
      </c>
      <c r="U47" s="2">
        <v>42</v>
      </c>
      <c r="V47" s="10">
        <v>-494584</v>
      </c>
      <c r="W47" s="10">
        <v>-510627</v>
      </c>
      <c r="X47" s="10">
        <v>-469976</v>
      </c>
      <c r="Y47" s="10">
        <v>-458726</v>
      </c>
      <c r="Z47" s="10">
        <v>-515713</v>
      </c>
      <c r="AA47" s="10">
        <v>-503594</v>
      </c>
      <c r="AB47" s="10">
        <v>-488845</v>
      </c>
      <c r="AC47" s="10">
        <v>-489145</v>
      </c>
      <c r="AD47" s="10">
        <v>-487923</v>
      </c>
      <c r="AE47" s="10">
        <v>-489800</v>
      </c>
    </row>
    <row r="48" spans="4:31" x14ac:dyDescent="0.3">
      <c r="D48" s="2">
        <v>30</v>
      </c>
      <c r="E48" s="4">
        <f t="shared" si="2"/>
        <v>-51.415500000000002</v>
      </c>
      <c r="F48" s="4">
        <f t="shared" si="3"/>
        <v>-55.869199999999999</v>
      </c>
      <c r="G48" s="4">
        <f t="shared" si="4"/>
        <v>-49.439500000000002</v>
      </c>
      <c r="H48" s="4">
        <f t="shared" si="5"/>
        <v>-48.582900000000002</v>
      </c>
      <c r="I48" s="4">
        <f t="shared" si="6"/>
        <v>-55.561500000000002</v>
      </c>
      <c r="J48" s="4">
        <f t="shared" si="7"/>
        <v>-54.471900000000005</v>
      </c>
      <c r="K48" s="4">
        <f t="shared" si="10"/>
        <v>-53.055</v>
      </c>
      <c r="L48" s="4">
        <f t="shared" si="8"/>
        <v>-53.0413</v>
      </c>
      <c r="M48" s="4">
        <f t="shared" si="1"/>
        <v>-52.6616</v>
      </c>
      <c r="N48" s="4">
        <f t="shared" si="1"/>
        <v>-52.930100000000003</v>
      </c>
      <c r="P48" s="4">
        <f t="shared" si="9"/>
        <v>-52.702849999999998</v>
      </c>
      <c r="Q48" s="13"/>
      <c r="R48" s="7"/>
      <c r="S48" s="9">
        <v>210</v>
      </c>
      <c r="T48" s="5">
        <v>-239184</v>
      </c>
      <c r="U48" s="2">
        <v>43</v>
      </c>
      <c r="V48" s="10">
        <v>-514155</v>
      </c>
      <c r="W48" s="10">
        <v>-558692</v>
      </c>
      <c r="X48" s="10">
        <v>-494395</v>
      </c>
      <c r="Y48" s="10">
        <v>-485829</v>
      </c>
      <c r="Z48" s="10">
        <v>-555615</v>
      </c>
      <c r="AA48" s="10">
        <v>-544719</v>
      </c>
      <c r="AB48" s="10">
        <v>-530550</v>
      </c>
      <c r="AC48" s="10">
        <v>-530413</v>
      </c>
      <c r="AD48" s="10">
        <v>-526616</v>
      </c>
      <c r="AE48" s="10">
        <v>-529301</v>
      </c>
    </row>
    <row r="49" spans="4:31" x14ac:dyDescent="0.3">
      <c r="D49" s="2">
        <v>35</v>
      </c>
      <c r="E49" s="4">
        <f t="shared" si="2"/>
        <v>-52.983900000000006</v>
      </c>
      <c r="F49" s="4">
        <f t="shared" si="3"/>
        <v>-59.624500000000005</v>
      </c>
      <c r="G49" s="4">
        <f t="shared" si="4"/>
        <v>-53.333600000000004</v>
      </c>
      <c r="H49" s="4">
        <f t="shared" si="5"/>
        <v>-55.180400000000006</v>
      </c>
      <c r="I49" s="4">
        <f t="shared" si="6"/>
        <v>-57.836800000000004</v>
      </c>
      <c r="J49" s="4">
        <f t="shared" si="7"/>
        <v>-57.915300000000002</v>
      </c>
      <c r="K49" s="4">
        <f t="shared" si="10"/>
        <v>-58.2361</v>
      </c>
      <c r="L49" s="4">
        <f t="shared" si="8"/>
        <v>-57.534700000000001</v>
      </c>
      <c r="M49" s="4">
        <f t="shared" si="1"/>
        <v>-57.024800000000006</v>
      </c>
      <c r="N49" s="4">
        <f t="shared" si="1"/>
        <v>-57.804600000000001</v>
      </c>
      <c r="P49" s="4">
        <f t="shared" si="9"/>
        <v>-56.747470000000007</v>
      </c>
      <c r="Q49" s="13"/>
      <c r="R49" s="7"/>
      <c r="S49" s="9">
        <v>215</v>
      </c>
      <c r="T49" s="5">
        <v>-266082</v>
      </c>
      <c r="U49" s="2">
        <v>44</v>
      </c>
      <c r="V49" s="10">
        <v>-529839</v>
      </c>
      <c r="W49" s="10">
        <v>-596245</v>
      </c>
      <c r="X49" s="10">
        <v>-533336</v>
      </c>
      <c r="Y49" s="10">
        <v>-551804</v>
      </c>
      <c r="Z49" s="10">
        <v>-578368</v>
      </c>
      <c r="AA49" s="10">
        <v>-579153</v>
      </c>
      <c r="AB49" s="10">
        <v>-582361</v>
      </c>
      <c r="AC49" s="10">
        <v>-575347</v>
      </c>
      <c r="AD49" s="10">
        <v>-570248</v>
      </c>
      <c r="AE49" s="10">
        <v>-578046</v>
      </c>
    </row>
    <row r="50" spans="4:31" x14ac:dyDescent="0.3">
      <c r="D50" s="2">
        <v>40</v>
      </c>
      <c r="E50" s="4">
        <f t="shared" si="2"/>
        <v>-52.237300000000005</v>
      </c>
      <c r="F50" s="4">
        <f t="shared" si="3"/>
        <v>-56.602700000000006</v>
      </c>
      <c r="G50" s="4">
        <f t="shared" si="4"/>
        <v>-56.8459</v>
      </c>
      <c r="H50" s="4">
        <f t="shared" si="5"/>
        <v>-64.595200000000006</v>
      </c>
      <c r="I50" s="4">
        <f t="shared" si="6"/>
        <v>-54.204500000000003</v>
      </c>
      <c r="J50" s="4">
        <f t="shared" si="7"/>
        <v>-54.925400000000003</v>
      </c>
      <c r="K50" s="4">
        <f t="shared" si="10"/>
        <v>-56.312900000000006</v>
      </c>
      <c r="L50" s="4">
        <f t="shared" si="8"/>
        <v>-56.7286</v>
      </c>
      <c r="M50" s="4">
        <f t="shared" si="1"/>
        <v>-57.141400000000004</v>
      </c>
      <c r="N50" s="4">
        <f t="shared" si="1"/>
        <v>-57.594700000000003</v>
      </c>
      <c r="P50" s="4">
        <f t="shared" si="9"/>
        <v>-56.718860000000006</v>
      </c>
      <c r="Q50" s="13"/>
      <c r="R50" s="7"/>
      <c r="S50" s="9">
        <v>220</v>
      </c>
      <c r="T50" s="5">
        <v>-295963</v>
      </c>
      <c r="U50" s="2">
        <v>45</v>
      </c>
      <c r="V50" s="10">
        <v>-522373</v>
      </c>
      <c r="W50" s="10">
        <v>-566027</v>
      </c>
      <c r="X50" s="10">
        <v>-568459</v>
      </c>
      <c r="Y50" s="10">
        <v>-645952</v>
      </c>
      <c r="Z50" s="10">
        <v>-542045</v>
      </c>
      <c r="AA50" s="10">
        <v>-549254</v>
      </c>
      <c r="AB50" s="10">
        <v>-563129</v>
      </c>
      <c r="AC50" s="10">
        <v>-567286</v>
      </c>
      <c r="AD50" s="10">
        <v>-571414</v>
      </c>
      <c r="AE50" s="10">
        <v>-575947</v>
      </c>
    </row>
    <row r="51" spans="4:31" x14ac:dyDescent="0.3">
      <c r="D51" s="2">
        <v>45</v>
      </c>
      <c r="E51" s="4">
        <f t="shared" si="2"/>
        <v>-56.1282</v>
      </c>
      <c r="F51" s="4">
        <f t="shared" si="3"/>
        <v>-51.144400000000005</v>
      </c>
      <c r="G51" s="4">
        <f t="shared" si="4"/>
        <v>-54.666200000000003</v>
      </c>
      <c r="H51" s="4">
        <f t="shared" si="5"/>
        <v>-52.891100000000002</v>
      </c>
      <c r="I51" s="4">
        <f t="shared" si="6"/>
        <v>-50.462700000000005</v>
      </c>
      <c r="J51" s="4">
        <f t="shared" si="7"/>
        <v>-50.9773</v>
      </c>
      <c r="K51" s="4">
        <f t="shared" si="10"/>
        <v>-51.489699999999999</v>
      </c>
      <c r="L51" s="4">
        <f t="shared" si="8"/>
        <v>-52.070500000000003</v>
      </c>
      <c r="M51" s="4">
        <f t="shared" si="1"/>
        <v>-52.432600000000001</v>
      </c>
      <c r="N51" s="4">
        <f t="shared" si="1"/>
        <v>-52.687200000000004</v>
      </c>
      <c r="P51" s="4">
        <f t="shared" si="9"/>
        <v>-52.494989999999994</v>
      </c>
      <c r="Q51" s="13"/>
      <c r="R51" s="7"/>
      <c r="S51" s="9">
        <v>225</v>
      </c>
      <c r="T51" s="5">
        <v>-325142</v>
      </c>
      <c r="U51" s="2">
        <v>46</v>
      </c>
      <c r="V51" s="10">
        <v>-561282</v>
      </c>
      <c r="W51" s="10">
        <v>-511444</v>
      </c>
      <c r="X51" s="10">
        <v>-546662</v>
      </c>
      <c r="Y51" s="10">
        <v>-528911</v>
      </c>
      <c r="Z51" s="10">
        <v>-504627</v>
      </c>
      <c r="AA51" s="10">
        <v>-509773</v>
      </c>
      <c r="AB51" s="10">
        <v>-514897</v>
      </c>
      <c r="AC51" s="10">
        <v>-520705</v>
      </c>
      <c r="AD51" s="10">
        <v>-524326</v>
      </c>
      <c r="AE51" s="10">
        <v>-526872</v>
      </c>
    </row>
    <row r="52" spans="4:31" x14ac:dyDescent="0.3">
      <c r="D52" s="2">
        <v>50</v>
      </c>
      <c r="E52" s="4">
        <f t="shared" si="2"/>
        <v>-46.428000000000004</v>
      </c>
      <c r="F52" s="4">
        <f t="shared" si="3"/>
        <v>-46.998600000000003</v>
      </c>
      <c r="G52" s="4">
        <f t="shared" si="4"/>
        <v>-51.005500000000005</v>
      </c>
      <c r="H52" s="4">
        <f t="shared" si="5"/>
        <v>-49.617600000000003</v>
      </c>
      <c r="I52" s="4">
        <f t="shared" si="6"/>
        <v>-48.214500000000001</v>
      </c>
      <c r="J52" s="4">
        <f t="shared" si="7"/>
        <v>-48.9422</v>
      </c>
      <c r="K52" s="4">
        <f t="shared" si="10"/>
        <v>-48.868700000000004</v>
      </c>
      <c r="L52" s="4">
        <f t="shared" si="8"/>
        <v>-49.331500000000005</v>
      </c>
      <c r="M52" s="4">
        <f t="shared" si="1"/>
        <v>-49.612300000000005</v>
      </c>
      <c r="N52" s="4">
        <f t="shared" si="1"/>
        <v>-49.864900000000006</v>
      </c>
      <c r="P52" s="4">
        <f t="shared" si="9"/>
        <v>-48.888380000000005</v>
      </c>
      <c r="Q52" s="13"/>
      <c r="R52" s="7"/>
      <c r="S52" s="9">
        <v>230</v>
      </c>
      <c r="T52" s="5">
        <v>-392336</v>
      </c>
      <c r="U52" s="2">
        <v>47</v>
      </c>
      <c r="V52" s="10">
        <v>-464280</v>
      </c>
      <c r="W52" s="10">
        <v>-469986</v>
      </c>
      <c r="X52" s="10">
        <v>-510055</v>
      </c>
      <c r="Y52" s="10">
        <v>-496176</v>
      </c>
      <c r="Z52" s="10">
        <v>-482145</v>
      </c>
      <c r="AA52" s="10">
        <v>-489422</v>
      </c>
      <c r="AB52" s="10">
        <v>-488687</v>
      </c>
      <c r="AC52" s="10">
        <v>-493315</v>
      </c>
      <c r="AD52" s="10">
        <v>-496123</v>
      </c>
      <c r="AE52" s="10">
        <v>-498649</v>
      </c>
    </row>
    <row r="53" spans="4:31" x14ac:dyDescent="0.3">
      <c r="D53" s="2">
        <v>55</v>
      </c>
      <c r="E53" s="4">
        <f t="shared" si="2"/>
        <v>-46.754400000000004</v>
      </c>
      <c r="F53" s="4">
        <f t="shared" si="3"/>
        <v>-45.874900000000004</v>
      </c>
      <c r="G53" s="4">
        <f t="shared" si="4"/>
        <v>-49.095600000000005</v>
      </c>
      <c r="H53" s="4">
        <f t="shared" si="5"/>
        <v>-48.238800000000005</v>
      </c>
      <c r="I53" s="4">
        <f t="shared" si="6"/>
        <v>-47.455800000000004</v>
      </c>
      <c r="J53" s="4">
        <f t="shared" si="7"/>
        <v>-48.293100000000003</v>
      </c>
      <c r="K53" s="4">
        <f t="shared" si="10"/>
        <v>-47.999100000000006</v>
      </c>
      <c r="L53" s="4">
        <f t="shared" si="8"/>
        <v>-48.401500000000006</v>
      </c>
      <c r="M53" s="4">
        <f t="shared" si="1"/>
        <v>-48.650800000000004</v>
      </c>
      <c r="N53" s="4">
        <f t="shared" si="1"/>
        <v>-48.887800000000006</v>
      </c>
      <c r="P53" s="4">
        <f t="shared" si="9"/>
        <v>-47.965180000000004</v>
      </c>
      <c r="Q53" s="13"/>
      <c r="R53" s="7"/>
      <c r="S53" s="9">
        <v>235</v>
      </c>
      <c r="T53" s="5">
        <v>-485746</v>
      </c>
      <c r="U53" s="2">
        <v>48</v>
      </c>
      <c r="V53" s="10">
        <v>-467544</v>
      </c>
      <c r="W53" s="10">
        <v>-458749</v>
      </c>
      <c r="X53" s="10">
        <v>-490956</v>
      </c>
      <c r="Y53" s="10">
        <v>-482388</v>
      </c>
      <c r="Z53" s="10">
        <v>-474558</v>
      </c>
      <c r="AA53" s="10">
        <v>-482931</v>
      </c>
      <c r="AB53" s="10">
        <v>-479991</v>
      </c>
      <c r="AC53" s="10">
        <v>-484015</v>
      </c>
      <c r="AD53" s="10">
        <v>-486508</v>
      </c>
      <c r="AE53" s="10">
        <v>-488878</v>
      </c>
    </row>
    <row r="54" spans="4:31" x14ac:dyDescent="0.3">
      <c r="D54" s="2">
        <v>60</v>
      </c>
      <c r="E54" s="4">
        <f t="shared" si="2"/>
        <v>-47.051600000000001</v>
      </c>
      <c r="F54" s="4">
        <f t="shared" si="3"/>
        <v>-45.904299999999999</v>
      </c>
      <c r="G54" s="4">
        <f t="shared" si="4"/>
        <v>-48.807700000000004</v>
      </c>
      <c r="H54" s="4">
        <f t="shared" si="5"/>
        <v>-48.209000000000003</v>
      </c>
      <c r="I54" s="4">
        <f t="shared" si="6"/>
        <v>-47.909800000000004</v>
      </c>
      <c r="J54" s="4">
        <f t="shared" si="7"/>
        <v>-49.369300000000003</v>
      </c>
      <c r="K54" s="4">
        <f t="shared" si="10"/>
        <v>-48.659600000000005</v>
      </c>
      <c r="L54" s="4">
        <f t="shared" si="8"/>
        <v>-48.964400000000005</v>
      </c>
      <c r="M54" s="4">
        <f t="shared" si="1"/>
        <v>-49.264000000000003</v>
      </c>
      <c r="N54" s="4">
        <f t="shared" si="1"/>
        <v>-49.298999999999999</v>
      </c>
      <c r="P54" s="4">
        <f t="shared" si="9"/>
        <v>-48.343870000000003</v>
      </c>
      <c r="Q54" s="13"/>
      <c r="R54" s="7"/>
      <c r="S54" s="9">
        <v>240</v>
      </c>
      <c r="T54" s="5">
        <v>-522018</v>
      </c>
      <c r="U54" s="2">
        <v>49</v>
      </c>
      <c r="V54" s="10">
        <v>-470516</v>
      </c>
      <c r="W54" s="10">
        <v>-459043</v>
      </c>
      <c r="X54" s="10">
        <v>-488077</v>
      </c>
      <c r="Y54" s="10">
        <v>-482090</v>
      </c>
      <c r="Z54" s="10">
        <v>-479098</v>
      </c>
      <c r="AA54" s="10">
        <v>-493693</v>
      </c>
      <c r="AB54" s="10">
        <v>-486596</v>
      </c>
      <c r="AC54" s="10">
        <v>-489644</v>
      </c>
      <c r="AD54" s="10">
        <v>-492640</v>
      </c>
      <c r="AE54" s="10">
        <v>-492990</v>
      </c>
    </row>
    <row r="55" spans="4:31" x14ac:dyDescent="0.3">
      <c r="D55" s="2">
        <v>65</v>
      </c>
      <c r="E55" s="4">
        <f t="shared" si="2"/>
        <v>-47.609400000000001</v>
      </c>
      <c r="F55" s="4">
        <f t="shared" si="3"/>
        <v>-47.172699999999999</v>
      </c>
      <c r="G55" s="4">
        <f t="shared" si="4"/>
        <v>-49.569099999999999</v>
      </c>
      <c r="H55" s="4">
        <f t="shared" si="5"/>
        <v>-51.147200000000005</v>
      </c>
      <c r="I55" s="4">
        <f t="shared" si="6"/>
        <v>-49.688200000000002</v>
      </c>
      <c r="J55" s="4">
        <f t="shared" si="7"/>
        <v>-51.614699999999999</v>
      </c>
      <c r="K55" s="4">
        <f t="shared" si="10"/>
        <v>-50.748200000000004</v>
      </c>
      <c r="L55" s="4">
        <f t="shared" si="8"/>
        <v>-50.7973</v>
      </c>
      <c r="M55" s="4">
        <f t="shared" si="1"/>
        <v>-51.424800000000005</v>
      </c>
      <c r="N55" s="4">
        <f t="shared" si="1"/>
        <v>-51.056699999999999</v>
      </c>
      <c r="P55" s="4">
        <f t="shared" si="9"/>
        <v>-50.082829999999994</v>
      </c>
      <c r="Q55" s="13"/>
      <c r="R55" s="7"/>
      <c r="S55" s="9">
        <v>245</v>
      </c>
      <c r="T55" s="5">
        <v>-495531</v>
      </c>
      <c r="U55" s="2">
        <v>50</v>
      </c>
      <c r="V55" s="10">
        <v>-476094</v>
      </c>
      <c r="W55" s="10">
        <v>-471727</v>
      </c>
      <c r="X55" s="10">
        <v>-495691</v>
      </c>
      <c r="Y55" s="10">
        <v>-511472</v>
      </c>
      <c r="Z55" s="10">
        <v>-496882</v>
      </c>
      <c r="AA55" s="10">
        <v>-516147</v>
      </c>
      <c r="AB55" s="10">
        <v>-507482</v>
      </c>
      <c r="AC55" s="10">
        <v>-507973</v>
      </c>
      <c r="AD55" s="10">
        <v>-514248</v>
      </c>
      <c r="AE55" s="10">
        <v>-510567</v>
      </c>
    </row>
    <row r="56" spans="4:31" x14ac:dyDescent="0.3">
      <c r="D56" s="2">
        <v>70</v>
      </c>
      <c r="E56" s="4">
        <f t="shared" si="2"/>
        <v>-52.438900000000004</v>
      </c>
      <c r="F56" s="4">
        <f t="shared" si="3"/>
        <v>-50.042300000000004</v>
      </c>
      <c r="G56" s="4">
        <f t="shared" si="4"/>
        <v>-51.697700000000005</v>
      </c>
      <c r="H56" s="4">
        <f t="shared" si="5"/>
        <v>-54.577200000000005</v>
      </c>
      <c r="I56" s="4">
        <f t="shared" si="6"/>
        <v>-53.287800000000004</v>
      </c>
      <c r="J56" s="4">
        <f t="shared" si="7"/>
        <v>-55.450600000000001</v>
      </c>
      <c r="K56" s="4">
        <f t="shared" si="10"/>
        <v>-54.3611</v>
      </c>
      <c r="L56" s="4">
        <f t="shared" si="8"/>
        <v>-54.158300000000004</v>
      </c>
      <c r="M56" s="4">
        <f t="shared" si="1"/>
        <v>-54.029000000000003</v>
      </c>
      <c r="N56" s="4">
        <f t="shared" si="1"/>
        <v>-54.407000000000004</v>
      </c>
      <c r="P56" s="4">
        <f t="shared" si="9"/>
        <v>-53.444990000000004</v>
      </c>
      <c r="Q56" s="13"/>
      <c r="R56" s="7"/>
      <c r="S56" s="9">
        <v>250</v>
      </c>
      <c r="T56" s="5">
        <v>-518317</v>
      </c>
      <c r="U56" s="2">
        <v>51</v>
      </c>
      <c r="V56" s="10">
        <v>-524389</v>
      </c>
      <c r="W56" s="10">
        <v>-500423</v>
      </c>
      <c r="X56" s="10">
        <v>-516977</v>
      </c>
      <c r="Y56" s="10">
        <v>-545772</v>
      </c>
      <c r="Z56" s="10">
        <v>-532878</v>
      </c>
      <c r="AA56" s="10">
        <v>-554506</v>
      </c>
      <c r="AB56" s="10">
        <v>-543611</v>
      </c>
      <c r="AC56" s="10">
        <v>-541583</v>
      </c>
      <c r="AD56" s="10">
        <v>-540290</v>
      </c>
      <c r="AE56" s="10">
        <v>-544070</v>
      </c>
    </row>
    <row r="57" spans="4:31" x14ac:dyDescent="0.3">
      <c r="D57" s="2">
        <v>75</v>
      </c>
      <c r="E57" s="4">
        <f t="shared" si="2"/>
        <v>-54.685500000000005</v>
      </c>
      <c r="F57" s="4">
        <f t="shared" si="3"/>
        <v>-54.968000000000004</v>
      </c>
      <c r="G57" s="4">
        <f t="shared" si="4"/>
        <v>-55.205000000000005</v>
      </c>
      <c r="H57" s="4">
        <f t="shared" si="5"/>
        <v>-58.485600000000005</v>
      </c>
      <c r="I57" s="4">
        <f t="shared" si="6"/>
        <v>-58.325400000000002</v>
      </c>
      <c r="J57" s="4">
        <f t="shared" si="7"/>
        <v>-59.2759</v>
      </c>
      <c r="K57" s="4">
        <f t="shared" si="10"/>
        <v>-58.998000000000005</v>
      </c>
      <c r="L57" s="4">
        <f t="shared" si="8"/>
        <v>-58.737500000000004</v>
      </c>
      <c r="M57" s="4">
        <f t="shared" si="1"/>
        <v>-58.078700000000005</v>
      </c>
      <c r="N57" s="4">
        <f t="shared" si="1"/>
        <v>-58.523500000000006</v>
      </c>
      <c r="P57" s="4">
        <f t="shared" si="9"/>
        <v>-57.528309999999998</v>
      </c>
      <c r="Q57" s="13"/>
      <c r="R57" s="7"/>
      <c r="S57" s="9">
        <v>255</v>
      </c>
      <c r="T57" s="5">
        <v>-528746</v>
      </c>
      <c r="U57" s="2">
        <v>52</v>
      </c>
      <c r="V57" s="10">
        <v>-546855</v>
      </c>
      <c r="W57" s="10">
        <v>-549680</v>
      </c>
      <c r="X57" s="10">
        <v>-552050</v>
      </c>
      <c r="Y57" s="10">
        <v>-584856</v>
      </c>
      <c r="Z57" s="10">
        <v>-583254</v>
      </c>
      <c r="AA57" s="10">
        <v>-592759</v>
      </c>
      <c r="AB57" s="10">
        <v>-589980</v>
      </c>
      <c r="AC57" s="10">
        <v>-587375</v>
      </c>
      <c r="AD57" s="10">
        <v>-580787</v>
      </c>
      <c r="AE57" s="10">
        <v>-585235</v>
      </c>
    </row>
    <row r="58" spans="4:31" x14ac:dyDescent="0.3">
      <c r="D58" s="2">
        <v>80</v>
      </c>
      <c r="E58" s="4">
        <f t="shared" si="2"/>
        <v>-58.763800000000003</v>
      </c>
      <c r="F58" s="4">
        <f t="shared" si="3"/>
        <v>-56.145400000000002</v>
      </c>
      <c r="G58" s="4">
        <f t="shared" si="4"/>
        <v>-60.786100000000005</v>
      </c>
      <c r="H58" s="4">
        <f t="shared" si="5"/>
        <v>-60.403600000000004</v>
      </c>
      <c r="I58" s="4">
        <f t="shared" si="6"/>
        <v>-61.668500000000002</v>
      </c>
      <c r="J58" s="4">
        <f t="shared" si="7"/>
        <v>-64.413200000000003</v>
      </c>
      <c r="K58" s="4">
        <f t="shared" si="10"/>
        <v>-63.084400000000002</v>
      </c>
      <c r="L58" s="4">
        <f t="shared" si="8"/>
        <v>-62.605700000000006</v>
      </c>
      <c r="M58" s="4">
        <f t="shared" si="1"/>
        <v>-63.413700000000006</v>
      </c>
      <c r="N58" s="4">
        <f t="shared" si="1"/>
        <v>-63.222900000000003</v>
      </c>
      <c r="P58" s="4">
        <f t="shared" si="9"/>
        <v>-61.45073</v>
      </c>
      <c r="Q58" s="13"/>
      <c r="R58" s="7"/>
      <c r="S58" s="9">
        <v>260</v>
      </c>
      <c r="T58" s="5">
        <v>-502829</v>
      </c>
      <c r="U58" s="2">
        <v>53</v>
      </c>
      <c r="V58" s="10">
        <v>-587638</v>
      </c>
      <c r="W58" s="10">
        <v>-561454</v>
      </c>
      <c r="X58" s="10">
        <v>-607861</v>
      </c>
      <c r="Y58" s="10">
        <v>-604036</v>
      </c>
      <c r="Z58" s="10">
        <v>-616685</v>
      </c>
      <c r="AA58" s="10">
        <v>-644132</v>
      </c>
      <c r="AB58" s="10">
        <v>-630844</v>
      </c>
      <c r="AC58" s="10">
        <v>-626057</v>
      </c>
      <c r="AD58" s="10">
        <v>-634137</v>
      </c>
      <c r="AE58" s="10">
        <v>-632229</v>
      </c>
    </row>
    <row r="59" spans="4:31" x14ac:dyDescent="0.3">
      <c r="D59" s="2">
        <v>85</v>
      </c>
      <c r="E59" s="4">
        <f t="shared" si="2"/>
        <v>-55.2791</v>
      </c>
      <c r="F59" s="4">
        <f t="shared" si="3"/>
        <v>-54.416700000000006</v>
      </c>
      <c r="G59" s="4">
        <f t="shared" si="4"/>
        <v>-61.093800000000002</v>
      </c>
      <c r="H59" s="4">
        <f t="shared" si="5"/>
        <v>-56.0839</v>
      </c>
      <c r="I59" s="4">
        <f t="shared" si="6"/>
        <v>-59.512900000000002</v>
      </c>
      <c r="J59" s="4">
        <f t="shared" si="7"/>
        <v>-63.742800000000003</v>
      </c>
      <c r="K59" s="4">
        <f t="shared" si="10"/>
        <v>-62.795900000000003</v>
      </c>
      <c r="L59" s="4">
        <f t="shared" si="8"/>
        <v>-61.775300000000001</v>
      </c>
      <c r="M59" s="4">
        <f t="shared" si="1"/>
        <v>-62.2654</v>
      </c>
      <c r="N59" s="4">
        <f t="shared" si="1"/>
        <v>-62.912800000000004</v>
      </c>
      <c r="P59" s="4">
        <f t="shared" si="9"/>
        <v>-59.987859999999998</v>
      </c>
      <c r="Q59" s="13"/>
      <c r="R59" s="7"/>
      <c r="S59" s="9">
        <v>265</v>
      </c>
      <c r="T59" s="5">
        <v>-470498</v>
      </c>
      <c r="U59" s="2">
        <v>54</v>
      </c>
      <c r="V59" s="10">
        <v>-552791</v>
      </c>
      <c r="W59" s="10">
        <v>-544167</v>
      </c>
      <c r="X59" s="10">
        <v>-610938</v>
      </c>
      <c r="Y59" s="10">
        <v>-560839</v>
      </c>
      <c r="Z59" s="10">
        <v>-595129</v>
      </c>
      <c r="AA59" s="10">
        <v>-637428</v>
      </c>
      <c r="AB59" s="10">
        <v>-627959</v>
      </c>
      <c r="AC59" s="10">
        <v>-617753</v>
      </c>
      <c r="AD59" s="10">
        <v>-622654</v>
      </c>
      <c r="AE59" s="10">
        <v>-629128</v>
      </c>
    </row>
    <row r="60" spans="4:31" x14ac:dyDescent="0.3">
      <c r="D60" s="2">
        <v>90</v>
      </c>
      <c r="E60" s="4">
        <f t="shared" si="2"/>
        <v>-51.1342</v>
      </c>
      <c r="F60" s="4">
        <f t="shared" si="3"/>
        <v>-50.804700000000004</v>
      </c>
      <c r="G60" s="4">
        <f t="shared" si="4"/>
        <v>-55.794000000000004</v>
      </c>
      <c r="H60" s="4">
        <f t="shared" si="5"/>
        <v>-52.051500000000004</v>
      </c>
      <c r="I60" s="4">
        <f t="shared" si="6"/>
        <v>-55.307000000000002</v>
      </c>
      <c r="J60" s="4">
        <f t="shared" si="7"/>
        <v>-57.553600000000003</v>
      </c>
      <c r="K60" s="4">
        <f t="shared" si="10"/>
        <v>-56.7044</v>
      </c>
      <c r="L60" s="4">
        <f t="shared" si="8"/>
        <v>-56.724700000000006</v>
      </c>
      <c r="M60" s="4">
        <f t="shared" si="1"/>
        <v>-57.226100000000002</v>
      </c>
      <c r="N60" s="4">
        <f t="shared" si="1"/>
        <v>-58.135800000000003</v>
      </c>
      <c r="P60" s="4">
        <f t="shared" si="9"/>
        <v>-55.143600000000006</v>
      </c>
      <c r="Q60" s="13"/>
      <c r="R60" s="7"/>
      <c r="S60" s="9">
        <v>270</v>
      </c>
      <c r="T60" s="5">
        <v>-455632</v>
      </c>
      <c r="U60" s="2">
        <v>55</v>
      </c>
      <c r="V60" s="10">
        <v>-511342</v>
      </c>
      <c r="W60" s="10">
        <v>-508047</v>
      </c>
      <c r="X60" s="10">
        <v>-557940</v>
      </c>
      <c r="Y60" s="10">
        <v>-520515</v>
      </c>
      <c r="Z60" s="10">
        <v>-553070</v>
      </c>
      <c r="AA60" s="10">
        <v>-575536</v>
      </c>
      <c r="AB60" s="10">
        <v>-567044</v>
      </c>
      <c r="AC60" s="10">
        <v>-567247</v>
      </c>
      <c r="AD60" s="10">
        <v>-572261</v>
      </c>
      <c r="AE60" s="10">
        <v>-581358</v>
      </c>
    </row>
    <row r="61" spans="4:31" x14ac:dyDescent="0.3">
      <c r="D61" s="2">
        <v>95</v>
      </c>
      <c r="E61" s="4">
        <f t="shared" si="2"/>
        <v>-48.906400000000005</v>
      </c>
      <c r="F61" s="4">
        <f t="shared" si="3"/>
        <v>-49.322600000000001</v>
      </c>
      <c r="G61" s="4">
        <f t="shared" si="4"/>
        <v>-51.408300000000004</v>
      </c>
      <c r="H61" s="4">
        <f t="shared" si="5"/>
        <v>-48.694000000000003</v>
      </c>
      <c r="I61" s="4">
        <f t="shared" si="6"/>
        <v>-51.644600000000004</v>
      </c>
      <c r="J61" s="4">
        <f t="shared" si="7"/>
        <v>-52.372400000000006</v>
      </c>
      <c r="K61" s="4">
        <f t="shared" si="10"/>
        <v>-51.889500000000005</v>
      </c>
      <c r="L61" s="4">
        <f t="shared" si="8"/>
        <v>-51.777900000000002</v>
      </c>
      <c r="M61" s="4">
        <f t="shared" si="1"/>
        <v>-52.002900000000004</v>
      </c>
      <c r="N61" s="4">
        <f t="shared" si="1"/>
        <v>-52.743200000000002</v>
      </c>
      <c r="P61" s="4">
        <f t="shared" si="9"/>
        <v>-51.076180000000001</v>
      </c>
      <c r="Q61" s="13"/>
      <c r="R61" s="7"/>
      <c r="S61" s="9">
        <v>275</v>
      </c>
      <c r="T61" s="5">
        <v>-461047</v>
      </c>
      <c r="U61" s="2">
        <v>56</v>
      </c>
      <c r="V61" s="10">
        <v>-489064</v>
      </c>
      <c r="W61" s="10">
        <v>-493226</v>
      </c>
      <c r="X61" s="10">
        <v>-514083</v>
      </c>
      <c r="Y61" s="10">
        <v>-486940</v>
      </c>
      <c r="Z61" s="10">
        <v>-516446</v>
      </c>
      <c r="AA61" s="10">
        <v>-523724</v>
      </c>
      <c r="AB61" s="10">
        <v>-518895</v>
      </c>
      <c r="AC61" s="10">
        <v>-517779</v>
      </c>
      <c r="AD61" s="10">
        <v>-520029</v>
      </c>
      <c r="AE61" s="10">
        <v>-527432</v>
      </c>
    </row>
    <row r="62" spans="4:31" x14ac:dyDescent="0.3">
      <c r="D62" s="2">
        <v>100</v>
      </c>
      <c r="E62" s="4">
        <f t="shared" si="2"/>
        <v>-47.162300000000002</v>
      </c>
      <c r="F62" s="4">
        <f t="shared" si="3"/>
        <v>-48.673900000000003</v>
      </c>
      <c r="G62" s="4">
        <f t="shared" si="4"/>
        <v>-48.816300000000005</v>
      </c>
      <c r="H62" s="4">
        <f t="shared" si="5"/>
        <v>-46.762700000000002</v>
      </c>
      <c r="I62" s="4">
        <f t="shared" si="6"/>
        <v>-49.401700000000005</v>
      </c>
      <c r="J62" s="4">
        <f t="shared" si="7"/>
        <v>-49.493500000000004</v>
      </c>
      <c r="K62" s="4">
        <f t="shared" si="10"/>
        <v>-48.871300000000005</v>
      </c>
      <c r="L62" s="4">
        <f t="shared" si="8"/>
        <v>-48.882300000000001</v>
      </c>
      <c r="M62" s="4">
        <f t="shared" si="1"/>
        <v>-49.096600000000002</v>
      </c>
      <c r="N62" s="4">
        <f t="shared" si="1"/>
        <v>-49.509800000000006</v>
      </c>
      <c r="P62" s="4">
        <f t="shared" si="9"/>
        <v>-48.66704</v>
      </c>
      <c r="Q62" s="13"/>
      <c r="R62" s="7"/>
      <c r="S62" s="9">
        <v>280</v>
      </c>
      <c r="T62" s="5">
        <v>-478389</v>
      </c>
      <c r="U62" s="2">
        <v>57</v>
      </c>
      <c r="V62" s="10">
        <v>-471623</v>
      </c>
      <c r="W62" s="10">
        <v>-486739</v>
      </c>
      <c r="X62" s="10">
        <v>-488163</v>
      </c>
      <c r="Y62" s="10">
        <v>-467627</v>
      </c>
      <c r="Z62" s="10">
        <v>-494017</v>
      </c>
      <c r="AA62" s="10">
        <v>-494935</v>
      </c>
      <c r="AB62" s="10">
        <v>-488713</v>
      </c>
      <c r="AC62" s="10">
        <v>-488823</v>
      </c>
      <c r="AD62" s="10">
        <v>-490966</v>
      </c>
      <c r="AE62" s="10">
        <v>-495098</v>
      </c>
    </row>
    <row r="63" spans="4:31" x14ac:dyDescent="0.3">
      <c r="D63" s="2">
        <v>105</v>
      </c>
      <c r="E63" s="4">
        <f t="shared" si="2"/>
        <v>-46.903100000000002</v>
      </c>
      <c r="F63" s="4">
        <f t="shared" si="3"/>
        <v>-48.371000000000002</v>
      </c>
      <c r="G63" s="4">
        <f t="shared" si="4"/>
        <v>-47.969300000000004</v>
      </c>
      <c r="H63" s="4">
        <f t="shared" si="5"/>
        <v>-46.296500000000002</v>
      </c>
      <c r="I63" s="4">
        <f t="shared" si="6"/>
        <v>-48.3093</v>
      </c>
      <c r="J63" s="4">
        <f t="shared" si="7"/>
        <v>-48.607199999999999</v>
      </c>
      <c r="K63" s="4">
        <f t="shared" si="10"/>
        <v>-47.694600000000001</v>
      </c>
      <c r="L63" s="4">
        <f t="shared" si="8"/>
        <v>-47.7455</v>
      </c>
      <c r="M63" s="4">
        <f t="shared" si="1"/>
        <v>-47.854400000000005</v>
      </c>
      <c r="N63" s="4">
        <f t="shared" si="1"/>
        <v>-48.066800000000001</v>
      </c>
      <c r="P63" s="4">
        <f t="shared" si="9"/>
        <v>-47.781770000000002</v>
      </c>
      <c r="Q63" s="13"/>
      <c r="R63" s="7"/>
      <c r="S63" s="9">
        <v>285</v>
      </c>
      <c r="T63" s="5">
        <v>-475536</v>
      </c>
      <c r="U63" s="2">
        <v>58</v>
      </c>
      <c r="V63" s="10">
        <v>-469031</v>
      </c>
      <c r="W63" s="10">
        <v>-483710</v>
      </c>
      <c r="X63" s="10">
        <v>-479693</v>
      </c>
      <c r="Y63" s="10">
        <v>-462965</v>
      </c>
      <c r="Z63" s="10">
        <v>-483093</v>
      </c>
      <c r="AA63" s="10">
        <v>-486072</v>
      </c>
      <c r="AB63" s="10">
        <v>-476946</v>
      </c>
      <c r="AC63" s="10">
        <v>-477455</v>
      </c>
      <c r="AD63" s="10">
        <v>-478544</v>
      </c>
      <c r="AE63" s="10">
        <v>-480668</v>
      </c>
    </row>
    <row r="64" spans="4:31" x14ac:dyDescent="0.3">
      <c r="D64" s="2">
        <v>110</v>
      </c>
      <c r="E64" s="4">
        <f t="shared" si="2"/>
        <v>-47.7988</v>
      </c>
      <c r="F64" s="4">
        <f t="shared" si="3"/>
        <v>-47.6265</v>
      </c>
      <c r="G64" s="4">
        <f t="shared" si="4"/>
        <v>-48.987400000000001</v>
      </c>
      <c r="H64" s="4">
        <f t="shared" si="5"/>
        <v>-47.183900000000001</v>
      </c>
      <c r="I64" s="4">
        <f t="shared" si="6"/>
        <v>-48.8157</v>
      </c>
      <c r="J64" s="4">
        <f t="shared" si="7"/>
        <v>-49.277500000000003</v>
      </c>
      <c r="K64" s="4">
        <f t="shared" si="10"/>
        <v>-48.1875</v>
      </c>
      <c r="L64" s="4">
        <f t="shared" si="8"/>
        <v>-48.371100000000006</v>
      </c>
      <c r="M64" s="4">
        <f t="shared" si="1"/>
        <v>-48.410900000000005</v>
      </c>
      <c r="N64" s="4">
        <f t="shared" si="1"/>
        <v>-48.540300000000002</v>
      </c>
      <c r="P64" s="4">
        <f t="shared" si="9"/>
        <v>-48.319960000000002</v>
      </c>
      <c r="Q64" s="13"/>
      <c r="R64" s="7"/>
      <c r="S64" s="9">
        <v>290</v>
      </c>
      <c r="T64" s="5">
        <v>-447195</v>
      </c>
      <c r="U64" s="2">
        <v>59</v>
      </c>
      <c r="V64" s="10">
        <v>-477988</v>
      </c>
      <c r="W64" s="10">
        <v>-476265</v>
      </c>
      <c r="X64" s="10">
        <v>-489874</v>
      </c>
      <c r="Y64" s="10">
        <v>-471839</v>
      </c>
      <c r="Z64" s="10">
        <v>-488157</v>
      </c>
      <c r="AA64" s="10">
        <v>-492775</v>
      </c>
      <c r="AB64" s="10">
        <v>-481875</v>
      </c>
      <c r="AC64" s="10">
        <v>-483711</v>
      </c>
      <c r="AD64" s="10">
        <v>-484109</v>
      </c>
      <c r="AE64" s="10">
        <v>-485403</v>
      </c>
    </row>
    <row r="65" spans="4:31" x14ac:dyDescent="0.3">
      <c r="D65" s="2">
        <v>115</v>
      </c>
      <c r="E65" s="4">
        <f t="shared" si="2"/>
        <v>-49.7042</v>
      </c>
      <c r="F65" s="4">
        <f t="shared" si="3"/>
        <v>-49.834299999999999</v>
      </c>
      <c r="G65" s="4">
        <f t="shared" si="4"/>
        <v>-50.599700000000006</v>
      </c>
      <c r="H65" s="4">
        <f t="shared" si="5"/>
        <v>-48.482300000000002</v>
      </c>
      <c r="I65" s="4">
        <f t="shared" si="6"/>
        <v>-50.345600000000005</v>
      </c>
      <c r="J65" s="4">
        <f t="shared" si="7"/>
        <v>-51.202500000000001</v>
      </c>
      <c r="K65" s="4">
        <f t="shared" si="10"/>
        <v>-50.052199999999999</v>
      </c>
      <c r="L65" s="4">
        <f t="shared" si="8"/>
        <v>-50.301900000000003</v>
      </c>
      <c r="M65" s="4">
        <f t="shared" si="1"/>
        <v>-50.46</v>
      </c>
      <c r="N65" s="4">
        <f t="shared" si="1"/>
        <v>-50.617699999999999</v>
      </c>
      <c r="P65" s="4">
        <f t="shared" si="9"/>
        <v>-50.160040000000002</v>
      </c>
      <c r="Q65" s="13"/>
      <c r="R65" s="7"/>
      <c r="S65" s="9">
        <v>295</v>
      </c>
      <c r="T65" s="5">
        <v>-414626</v>
      </c>
      <c r="U65" s="2">
        <v>60</v>
      </c>
      <c r="V65" s="10">
        <v>-497042</v>
      </c>
      <c r="W65" s="10">
        <v>-498343</v>
      </c>
      <c r="X65" s="10">
        <v>-505997</v>
      </c>
      <c r="Y65" s="10">
        <v>-484823</v>
      </c>
      <c r="Z65" s="10">
        <v>-503456</v>
      </c>
      <c r="AA65" s="10">
        <v>-512025</v>
      </c>
      <c r="AB65" s="10">
        <v>-500522</v>
      </c>
      <c r="AC65" s="10">
        <v>-503019</v>
      </c>
      <c r="AD65" s="10">
        <v>-504600</v>
      </c>
      <c r="AE65" s="10">
        <v>-506177</v>
      </c>
    </row>
    <row r="66" spans="4:31" x14ac:dyDescent="0.3">
      <c r="D66" s="2">
        <v>120</v>
      </c>
      <c r="E66" s="4">
        <f t="shared" si="2"/>
        <v>-47.351400000000005</v>
      </c>
      <c r="F66" s="4">
        <f t="shared" si="3"/>
        <v>-47.5471</v>
      </c>
      <c r="G66" s="4">
        <f t="shared" si="4"/>
        <v>-50.124600000000001</v>
      </c>
      <c r="H66" s="4">
        <f t="shared" si="5"/>
        <v>-47.621100000000006</v>
      </c>
      <c r="I66" s="4">
        <f t="shared" si="6"/>
        <v>-48.921400000000006</v>
      </c>
      <c r="J66" s="4">
        <f t="shared" si="7"/>
        <v>-49.755900000000004</v>
      </c>
      <c r="K66" s="4">
        <f t="shared" si="10"/>
        <v>-48.885400000000004</v>
      </c>
      <c r="L66" s="4">
        <f t="shared" si="8"/>
        <v>-49.299100000000003</v>
      </c>
      <c r="M66" s="4">
        <f t="shared" si="1"/>
        <v>-49.185700000000004</v>
      </c>
      <c r="N66" s="4">
        <f t="shared" si="1"/>
        <v>-49.744800000000005</v>
      </c>
      <c r="P66" s="4">
        <f t="shared" si="9"/>
        <v>-48.843650000000004</v>
      </c>
      <c r="Q66" s="13"/>
      <c r="R66" s="7"/>
      <c r="S66" s="9">
        <v>300</v>
      </c>
      <c r="T66" s="5">
        <v>-389172</v>
      </c>
      <c r="U66" s="2">
        <v>61</v>
      </c>
      <c r="V66" s="10">
        <v>-473514</v>
      </c>
      <c r="W66" s="10">
        <v>-475471</v>
      </c>
      <c r="X66" s="10">
        <v>-501246</v>
      </c>
      <c r="Y66" s="10">
        <v>-476211</v>
      </c>
      <c r="Z66" s="10">
        <v>-489214</v>
      </c>
      <c r="AA66" s="10">
        <v>-497559</v>
      </c>
      <c r="AB66" s="10">
        <v>-488854</v>
      </c>
      <c r="AC66" s="10">
        <v>-492991</v>
      </c>
      <c r="AD66" s="10">
        <v>-491857</v>
      </c>
      <c r="AE66" s="10">
        <v>-497448</v>
      </c>
    </row>
    <row r="67" spans="4:31" x14ac:dyDescent="0.3">
      <c r="D67" s="2">
        <v>125</v>
      </c>
      <c r="E67" s="4">
        <f t="shared" si="2"/>
        <v>-42.511500000000005</v>
      </c>
      <c r="F67" s="4">
        <f t="shared" si="3"/>
        <v>-42.392000000000003</v>
      </c>
      <c r="G67" s="4">
        <f t="shared" si="4"/>
        <v>-43.993100000000005</v>
      </c>
      <c r="H67" s="4">
        <f t="shared" si="5"/>
        <v>-43.003599999999999</v>
      </c>
      <c r="I67" s="4">
        <f t="shared" si="6"/>
        <v>-43.199400000000004</v>
      </c>
      <c r="J67" s="4">
        <f t="shared" si="7"/>
        <v>-43.547400000000003</v>
      </c>
      <c r="K67" s="4">
        <f t="shared" si="10"/>
        <v>-43.234900000000003</v>
      </c>
      <c r="L67" s="4">
        <f t="shared" si="8"/>
        <v>-43.466000000000001</v>
      </c>
      <c r="M67" s="4">
        <f t="shared" si="1"/>
        <v>-43.363100000000003</v>
      </c>
      <c r="N67" s="4">
        <f t="shared" si="1"/>
        <v>-43.544699999999999</v>
      </c>
      <c r="P67" s="4">
        <f t="shared" si="9"/>
        <v>-43.225569999999998</v>
      </c>
      <c r="Q67" s="13"/>
      <c r="R67" s="7"/>
      <c r="S67" s="9">
        <v>305</v>
      </c>
      <c r="T67" s="5">
        <v>-388960</v>
      </c>
      <c r="U67" s="2">
        <v>62</v>
      </c>
      <c r="V67" s="10">
        <v>-425115</v>
      </c>
      <c r="W67" s="10">
        <v>-423920</v>
      </c>
      <c r="X67" s="10">
        <v>-439931</v>
      </c>
      <c r="Y67" s="10">
        <v>-430036</v>
      </c>
      <c r="Z67" s="10">
        <v>-431994</v>
      </c>
      <c r="AA67" s="10">
        <v>-435474</v>
      </c>
      <c r="AB67" s="10">
        <v>-432349</v>
      </c>
      <c r="AC67" s="10">
        <v>-434660</v>
      </c>
      <c r="AD67" s="10">
        <v>-433631</v>
      </c>
      <c r="AE67" s="10">
        <v>-435447</v>
      </c>
    </row>
    <row r="68" spans="4:31" x14ac:dyDescent="0.3">
      <c r="D68" s="2">
        <v>130</v>
      </c>
      <c r="E68" s="4">
        <f t="shared" si="2"/>
        <v>-37.726300000000002</v>
      </c>
      <c r="F68" s="4">
        <f t="shared" si="3"/>
        <v>-37.745200000000004</v>
      </c>
      <c r="G68" s="4">
        <f t="shared" si="4"/>
        <v>-38.149900000000002</v>
      </c>
      <c r="H68" s="4">
        <f t="shared" si="5"/>
        <v>-38.239000000000004</v>
      </c>
      <c r="I68" s="4">
        <f t="shared" si="6"/>
        <v>-38.1175</v>
      </c>
      <c r="J68" s="4">
        <f t="shared" si="7"/>
        <v>-38.225500000000004</v>
      </c>
      <c r="K68" s="4">
        <f t="shared" si="10"/>
        <v>-37.935500000000005</v>
      </c>
      <c r="L68" s="4">
        <f t="shared" si="8"/>
        <v>-38.185000000000002</v>
      </c>
      <c r="M68" s="4">
        <f t="shared" si="1"/>
        <v>-38.106700000000004</v>
      </c>
      <c r="N68" s="4">
        <f t="shared" si="1"/>
        <v>-38.133700000000005</v>
      </c>
      <c r="P68" s="4">
        <f t="shared" si="9"/>
        <v>-38.056429999999999</v>
      </c>
      <c r="Q68" s="13"/>
      <c r="R68" s="7"/>
      <c r="S68" s="9">
        <v>310</v>
      </c>
      <c r="T68" s="5">
        <v>-388511</v>
      </c>
      <c r="U68" s="2">
        <v>63</v>
      </c>
      <c r="V68" s="10">
        <v>-377263</v>
      </c>
      <c r="W68" s="10">
        <v>-377452</v>
      </c>
      <c r="X68" s="10">
        <v>-381499</v>
      </c>
      <c r="Y68" s="10">
        <v>-382390</v>
      </c>
      <c r="Z68" s="10">
        <v>-381175</v>
      </c>
      <c r="AA68" s="10">
        <v>-382255</v>
      </c>
      <c r="AB68" s="10">
        <v>-379355</v>
      </c>
      <c r="AC68" s="10">
        <v>-381850</v>
      </c>
      <c r="AD68" s="10">
        <v>-381067</v>
      </c>
      <c r="AE68" s="10">
        <v>-381337</v>
      </c>
    </row>
    <row r="69" spans="4:31" x14ac:dyDescent="0.3">
      <c r="D69" s="2">
        <v>135</v>
      </c>
      <c r="E69" s="4">
        <f t="shared" si="2"/>
        <v>-34.149799999999999</v>
      </c>
      <c r="F69" s="4">
        <f t="shared" si="3"/>
        <v>-33.684600000000003</v>
      </c>
      <c r="G69" s="4">
        <f t="shared" si="4"/>
        <v>-34.242200000000004</v>
      </c>
      <c r="H69" s="4">
        <f t="shared" si="5"/>
        <v>-34.321000000000005</v>
      </c>
      <c r="I69" s="4">
        <f t="shared" si="6"/>
        <v>-34.038499999999999</v>
      </c>
      <c r="J69" s="4">
        <f t="shared" si="7"/>
        <v>-34.193400000000004</v>
      </c>
      <c r="K69" s="4">
        <f t="shared" si="10"/>
        <v>-33.940400000000004</v>
      </c>
      <c r="L69" s="4">
        <f t="shared" si="8"/>
        <v>-34.122599999999998</v>
      </c>
      <c r="M69" s="4">
        <f t="shared" si="1"/>
        <v>-34.054400000000001</v>
      </c>
      <c r="N69" s="4">
        <f t="shared" si="1"/>
        <v>-34.0441</v>
      </c>
      <c r="P69" s="4">
        <f t="shared" si="9"/>
        <v>-34.079099999999997</v>
      </c>
      <c r="Q69" s="13"/>
      <c r="R69" s="7"/>
      <c r="S69" s="9">
        <v>315</v>
      </c>
      <c r="T69" s="5">
        <v>-394767</v>
      </c>
      <c r="U69" s="2">
        <v>64</v>
      </c>
      <c r="V69" s="10">
        <v>-341498</v>
      </c>
      <c r="W69" s="10">
        <v>-336846</v>
      </c>
      <c r="X69" s="10">
        <v>-342422</v>
      </c>
      <c r="Y69" s="10">
        <v>-343210</v>
      </c>
      <c r="Z69" s="10">
        <v>-340385</v>
      </c>
      <c r="AA69" s="10">
        <v>-341934</v>
      </c>
      <c r="AB69" s="10">
        <v>-339404</v>
      </c>
      <c r="AC69" s="10">
        <v>-341226</v>
      </c>
      <c r="AD69" s="10">
        <v>-340544</v>
      </c>
      <c r="AE69" s="10">
        <v>-340441</v>
      </c>
    </row>
    <row r="70" spans="4:31" x14ac:dyDescent="0.3">
      <c r="D70" s="2">
        <v>140</v>
      </c>
      <c r="E70" s="4">
        <f t="shared" si="2"/>
        <v>-31.002400000000002</v>
      </c>
      <c r="F70" s="4">
        <f t="shared" si="3"/>
        <v>-30.5045</v>
      </c>
      <c r="G70" s="4">
        <f t="shared" si="4"/>
        <v>-31.334700000000002</v>
      </c>
      <c r="H70" s="4">
        <f t="shared" si="5"/>
        <v>-31.142800000000001</v>
      </c>
      <c r="I70" s="4">
        <f t="shared" si="6"/>
        <v>-31.6585</v>
      </c>
      <c r="J70" s="4">
        <f t="shared" si="7"/>
        <v>-30.897100000000002</v>
      </c>
      <c r="K70" s="4">
        <f t="shared" si="10"/>
        <v>-30.579500000000003</v>
      </c>
      <c r="L70" s="4">
        <f t="shared" si="8"/>
        <v>-30.745900000000002</v>
      </c>
      <c r="M70" s="4">
        <f t="shared" si="8"/>
        <v>-30.775600000000001</v>
      </c>
      <c r="N70" s="4">
        <f t="shared" si="8"/>
        <v>-30.627000000000002</v>
      </c>
      <c r="P70" s="4">
        <f t="shared" si="9"/>
        <v>-30.926800000000004</v>
      </c>
      <c r="Q70" s="13"/>
      <c r="R70" s="7"/>
      <c r="S70" s="9">
        <v>320</v>
      </c>
      <c r="T70" s="5">
        <v>-397018</v>
      </c>
      <c r="U70" s="2">
        <v>65</v>
      </c>
      <c r="V70" s="10">
        <v>-310024</v>
      </c>
      <c r="W70" s="10">
        <v>-305045</v>
      </c>
      <c r="X70" s="10">
        <v>-313347</v>
      </c>
      <c r="Y70" s="10">
        <v>-311428</v>
      </c>
      <c r="Z70" s="10">
        <v>-316585</v>
      </c>
      <c r="AA70" s="10">
        <v>-308971</v>
      </c>
      <c r="AB70" s="10">
        <v>-305795</v>
      </c>
      <c r="AC70" s="10">
        <v>-307459</v>
      </c>
      <c r="AD70" s="10">
        <v>-307756</v>
      </c>
      <c r="AE70" s="10">
        <v>-306270</v>
      </c>
    </row>
    <row r="71" spans="4:31" x14ac:dyDescent="0.3">
      <c r="D71" s="2">
        <v>145</v>
      </c>
      <c r="E71" s="4">
        <f t="shared" ref="E71:E78" si="11">V71*$B$5</f>
        <v>-28.072100000000002</v>
      </c>
      <c r="F71" s="4">
        <f t="shared" ref="F71:F78" si="12">W71*$B$5</f>
        <v>-28.358000000000001</v>
      </c>
      <c r="G71" s="4">
        <f t="shared" ref="G71:G78" si="13">X71*$B$5</f>
        <v>-28.2742</v>
      </c>
      <c r="H71" s="4">
        <f t="shared" ref="H71:H78" si="14">Y71*$B$5</f>
        <v>-28.468800000000002</v>
      </c>
      <c r="I71" s="4">
        <f t="shared" ref="I71:I78" si="15">Z71*$B$5</f>
        <v>-28.077100000000002</v>
      </c>
      <c r="J71" s="4">
        <f t="shared" ref="J71:J78" si="16">AA71*$B$5</f>
        <v>-28.1858</v>
      </c>
      <c r="K71" s="4">
        <f t="shared" si="10"/>
        <v>-27.938100000000002</v>
      </c>
      <c r="L71" s="4">
        <f t="shared" ref="L71:N78" si="17">AC71*$B$5</f>
        <v>-28.060500000000001</v>
      </c>
      <c r="M71" s="4">
        <f t="shared" si="17"/>
        <v>-28.006600000000002</v>
      </c>
      <c r="N71" s="4">
        <f t="shared" si="17"/>
        <v>-27.962700000000002</v>
      </c>
      <c r="P71" s="4">
        <f t="shared" ref="P71:P78" si="18">AVERAGE(E71:N71)</f>
        <v>-28.140389999999996</v>
      </c>
      <c r="Q71" s="13"/>
      <c r="R71" s="7"/>
      <c r="S71" s="9">
        <v>325</v>
      </c>
      <c r="T71" s="5">
        <v>-393206</v>
      </c>
      <c r="U71" s="2">
        <v>66</v>
      </c>
      <c r="V71" s="10">
        <v>-280721</v>
      </c>
      <c r="W71" s="10">
        <v>-283580</v>
      </c>
      <c r="X71" s="10">
        <v>-282742</v>
      </c>
      <c r="Y71" s="10">
        <v>-284688</v>
      </c>
      <c r="Z71" s="10">
        <v>-280771</v>
      </c>
      <c r="AA71" s="10">
        <v>-281858</v>
      </c>
      <c r="AB71" s="10">
        <v>-279381</v>
      </c>
      <c r="AC71" s="10">
        <v>-280605</v>
      </c>
      <c r="AD71" s="10">
        <v>-280066</v>
      </c>
      <c r="AE71" s="10">
        <v>-279627</v>
      </c>
    </row>
    <row r="72" spans="4:31" x14ac:dyDescent="0.3">
      <c r="D72" s="2">
        <v>150</v>
      </c>
      <c r="E72" s="4">
        <f t="shared" si="11"/>
        <v>-25.502200000000002</v>
      </c>
      <c r="F72" s="4">
        <f t="shared" si="12"/>
        <v>-25.613400000000002</v>
      </c>
      <c r="G72" s="4">
        <f t="shared" si="13"/>
        <v>-25.9998</v>
      </c>
      <c r="H72" s="4">
        <f t="shared" si="14"/>
        <v>-26.282</v>
      </c>
      <c r="I72" s="4">
        <f t="shared" si="15"/>
        <v>-25.9541</v>
      </c>
      <c r="J72" s="4">
        <f t="shared" si="16"/>
        <v>-26.065200000000001</v>
      </c>
      <c r="K72" s="4">
        <f t="shared" ref="K72:K78" si="19">AB72*$B$5</f>
        <v>-25.788500000000003</v>
      </c>
      <c r="L72" s="4">
        <f t="shared" si="17"/>
        <v>-25.8216</v>
      </c>
      <c r="M72" s="4">
        <f t="shared" si="17"/>
        <v>-25.899900000000002</v>
      </c>
      <c r="N72" s="4">
        <f t="shared" si="17"/>
        <v>-25.7729</v>
      </c>
      <c r="P72" s="4">
        <f t="shared" si="18"/>
        <v>-25.869959999999999</v>
      </c>
      <c r="Q72" s="13"/>
      <c r="R72" s="7"/>
      <c r="S72" s="9">
        <v>330</v>
      </c>
      <c r="T72" s="5">
        <v>-373802</v>
      </c>
      <c r="U72" s="2">
        <v>67</v>
      </c>
      <c r="V72" s="10">
        <v>-255022</v>
      </c>
      <c r="W72" s="10">
        <v>-256134</v>
      </c>
      <c r="X72" s="10">
        <v>-259998</v>
      </c>
      <c r="Y72" s="10">
        <v>-262820</v>
      </c>
      <c r="Z72" s="10">
        <v>-259541</v>
      </c>
      <c r="AA72" s="10">
        <v>-260652</v>
      </c>
      <c r="AB72" s="10">
        <v>-257885</v>
      </c>
      <c r="AC72" s="10">
        <v>-258216</v>
      </c>
      <c r="AD72" s="10">
        <v>-258999</v>
      </c>
      <c r="AE72" s="10">
        <v>-257729</v>
      </c>
    </row>
    <row r="73" spans="4:31" x14ac:dyDescent="0.3">
      <c r="D73" s="2">
        <v>155</v>
      </c>
      <c r="E73" s="4">
        <f t="shared" si="11"/>
        <v>-23.915300000000002</v>
      </c>
      <c r="F73" s="4">
        <f t="shared" si="12"/>
        <v>-23.9709</v>
      </c>
      <c r="G73" s="4">
        <f t="shared" si="13"/>
        <v>-24.653300000000002</v>
      </c>
      <c r="H73" s="4">
        <f t="shared" si="14"/>
        <v>-24.556100000000001</v>
      </c>
      <c r="I73" s="4">
        <f t="shared" si="15"/>
        <v>-24.195900000000002</v>
      </c>
      <c r="J73" s="4">
        <f t="shared" si="16"/>
        <v>-24.348400000000002</v>
      </c>
      <c r="K73" s="4">
        <f t="shared" si="19"/>
        <v>-24.7423</v>
      </c>
      <c r="L73" s="4">
        <f t="shared" si="17"/>
        <v>-24.074400000000001</v>
      </c>
      <c r="M73" s="4">
        <f t="shared" si="17"/>
        <v>-24.1175</v>
      </c>
      <c r="N73" s="4">
        <f t="shared" si="17"/>
        <v>-24.1205</v>
      </c>
      <c r="P73" s="4">
        <f t="shared" si="18"/>
        <v>-24.269460000000002</v>
      </c>
      <c r="Q73" s="13"/>
      <c r="R73" s="7"/>
      <c r="S73" s="9">
        <v>335</v>
      </c>
      <c r="T73" s="5">
        <v>-365234</v>
      </c>
      <c r="U73" s="2">
        <v>68</v>
      </c>
      <c r="V73" s="10">
        <v>-239153</v>
      </c>
      <c r="W73" s="10">
        <v>-239709</v>
      </c>
      <c r="X73" s="10">
        <v>-246533</v>
      </c>
      <c r="Y73" s="10">
        <v>-245561</v>
      </c>
      <c r="Z73" s="10">
        <v>-241959</v>
      </c>
      <c r="AA73" s="10">
        <v>-243484</v>
      </c>
      <c r="AB73" s="10">
        <v>-247423</v>
      </c>
      <c r="AC73" s="10">
        <v>-240744</v>
      </c>
      <c r="AD73" s="10">
        <v>-241175</v>
      </c>
      <c r="AE73" s="10">
        <v>-241205</v>
      </c>
    </row>
    <row r="74" spans="4:31" x14ac:dyDescent="0.3">
      <c r="D74" s="2">
        <v>160</v>
      </c>
      <c r="E74" s="4">
        <f t="shared" si="11"/>
        <v>-22.815000000000001</v>
      </c>
      <c r="F74" s="4">
        <f t="shared" si="12"/>
        <v>-22.559699999999999</v>
      </c>
      <c r="G74" s="4">
        <f t="shared" si="13"/>
        <v>-23.493100000000002</v>
      </c>
      <c r="H74" s="4">
        <f t="shared" si="14"/>
        <v>-23.258100000000002</v>
      </c>
      <c r="I74" s="4">
        <f t="shared" si="15"/>
        <v>-22.920300000000001</v>
      </c>
      <c r="J74" s="4">
        <f t="shared" si="16"/>
        <v>-23.034200000000002</v>
      </c>
      <c r="K74" s="4">
        <f t="shared" si="19"/>
        <v>-22.8307</v>
      </c>
      <c r="L74" s="4">
        <f t="shared" si="17"/>
        <v>-22.8157</v>
      </c>
      <c r="M74" s="4">
        <f t="shared" si="17"/>
        <v>-22.8248</v>
      </c>
      <c r="N74" s="4">
        <f t="shared" si="17"/>
        <v>-22.715500000000002</v>
      </c>
      <c r="P74" s="4">
        <f t="shared" si="18"/>
        <v>-22.92671</v>
      </c>
      <c r="Q74" s="13"/>
      <c r="R74" s="7"/>
      <c r="S74" s="9">
        <v>340</v>
      </c>
      <c r="T74" s="5">
        <v>-358212</v>
      </c>
      <c r="U74" s="2">
        <v>69</v>
      </c>
      <c r="V74" s="10">
        <v>-228150</v>
      </c>
      <c r="W74" s="10">
        <v>-225597</v>
      </c>
      <c r="X74" s="10">
        <v>-234931</v>
      </c>
      <c r="Y74" s="10">
        <v>-232581</v>
      </c>
      <c r="Z74" s="10">
        <v>-229203</v>
      </c>
      <c r="AA74" s="10">
        <v>-230342</v>
      </c>
      <c r="AB74" s="10">
        <v>-228307</v>
      </c>
      <c r="AC74" s="10">
        <v>-228157</v>
      </c>
      <c r="AD74" s="10">
        <v>-228248</v>
      </c>
      <c r="AE74" s="10">
        <v>-227155</v>
      </c>
    </row>
    <row r="75" spans="4:31" x14ac:dyDescent="0.3">
      <c r="D75" s="2">
        <v>165</v>
      </c>
      <c r="E75" s="4">
        <f t="shared" si="11"/>
        <v>-21.3247</v>
      </c>
      <c r="F75" s="4">
        <f t="shared" si="12"/>
        <v>-21.5703</v>
      </c>
      <c r="G75" s="4">
        <f t="shared" si="13"/>
        <v>-22.319400000000002</v>
      </c>
      <c r="H75" s="4">
        <f t="shared" si="14"/>
        <v>-22.249200000000002</v>
      </c>
      <c r="I75" s="4">
        <f t="shared" si="15"/>
        <v>-21.939600000000002</v>
      </c>
      <c r="J75" s="4">
        <f t="shared" si="16"/>
        <v>-22.053599999999999</v>
      </c>
      <c r="K75" s="4">
        <f t="shared" si="19"/>
        <v>-21.8033</v>
      </c>
      <c r="L75" s="4">
        <f t="shared" si="17"/>
        <v>-21.831</v>
      </c>
      <c r="M75" s="4">
        <f t="shared" si="17"/>
        <v>-21.825400000000002</v>
      </c>
      <c r="N75" s="4">
        <f t="shared" si="17"/>
        <v>-21.778600000000001</v>
      </c>
      <c r="P75" s="4">
        <f t="shared" si="18"/>
        <v>-21.869509999999998</v>
      </c>
      <c r="Q75" s="13"/>
      <c r="R75" s="7"/>
      <c r="S75" s="9">
        <v>345</v>
      </c>
      <c r="T75" s="5">
        <v>-355512</v>
      </c>
      <c r="U75" s="2">
        <v>70</v>
      </c>
      <c r="V75" s="10">
        <v>-213247</v>
      </c>
      <c r="W75" s="10">
        <v>-215703</v>
      </c>
      <c r="X75" s="10">
        <v>-223194</v>
      </c>
      <c r="Y75" s="10">
        <v>-222492</v>
      </c>
      <c r="Z75" s="10">
        <v>-219396</v>
      </c>
      <c r="AA75" s="10">
        <v>-220536</v>
      </c>
      <c r="AB75" s="10">
        <v>-218033</v>
      </c>
      <c r="AC75" s="10">
        <v>-218310</v>
      </c>
      <c r="AD75" s="10">
        <v>-218254</v>
      </c>
      <c r="AE75" s="10">
        <v>-217786</v>
      </c>
    </row>
    <row r="76" spans="4:31" x14ac:dyDescent="0.3">
      <c r="D76" s="2">
        <v>170</v>
      </c>
      <c r="E76" s="4">
        <f t="shared" si="11"/>
        <v>-20.705400000000001</v>
      </c>
      <c r="F76" s="4">
        <f t="shared" si="12"/>
        <v>-21.0107</v>
      </c>
      <c r="G76" s="4">
        <f t="shared" si="13"/>
        <v>-21.3825</v>
      </c>
      <c r="H76" s="4">
        <f t="shared" si="14"/>
        <v>-21.649100000000001</v>
      </c>
      <c r="I76" s="4">
        <f t="shared" si="15"/>
        <v>-21.3734</v>
      </c>
      <c r="J76" s="4">
        <f t="shared" si="16"/>
        <v>-22.049400000000002</v>
      </c>
      <c r="K76" s="4">
        <f t="shared" si="19"/>
        <v>-21.413</v>
      </c>
      <c r="L76" s="4">
        <f t="shared" si="17"/>
        <v>-21.1432</v>
      </c>
      <c r="M76" s="4">
        <f t="shared" si="17"/>
        <v>-21.256600000000002</v>
      </c>
      <c r="N76" s="4">
        <f t="shared" si="17"/>
        <v>-21.148600000000002</v>
      </c>
      <c r="P76" s="4">
        <f t="shared" si="18"/>
        <v>-21.313190000000002</v>
      </c>
      <c r="Q76" s="13"/>
      <c r="R76" s="7"/>
      <c r="S76" s="9">
        <v>350</v>
      </c>
      <c r="T76" s="5">
        <v>-354968</v>
      </c>
      <c r="U76" s="2">
        <v>71</v>
      </c>
      <c r="V76" s="10">
        <v>-207054</v>
      </c>
      <c r="W76" s="10">
        <v>-210107</v>
      </c>
      <c r="X76" s="10">
        <v>-213825</v>
      </c>
      <c r="Y76" s="10">
        <v>-216491</v>
      </c>
      <c r="Z76" s="10">
        <v>-213734</v>
      </c>
      <c r="AA76" s="10">
        <v>-220494</v>
      </c>
      <c r="AB76" s="10">
        <v>-214130</v>
      </c>
      <c r="AC76" s="10">
        <v>-211432</v>
      </c>
      <c r="AD76" s="10">
        <v>-212566</v>
      </c>
      <c r="AE76" s="10">
        <v>-211486</v>
      </c>
    </row>
    <row r="77" spans="4:31" x14ac:dyDescent="0.3">
      <c r="D77" s="2">
        <v>175</v>
      </c>
      <c r="E77" s="4">
        <f t="shared" si="11"/>
        <v>-20.352900000000002</v>
      </c>
      <c r="F77" s="4">
        <f t="shared" si="12"/>
        <v>-21.284000000000002</v>
      </c>
      <c r="G77" s="4">
        <f t="shared" si="13"/>
        <v>-20.618500000000001</v>
      </c>
      <c r="H77" s="4">
        <f t="shared" si="14"/>
        <v>-21.283900000000003</v>
      </c>
      <c r="I77" s="4">
        <f t="shared" si="15"/>
        <v>-21.064700000000002</v>
      </c>
      <c r="J77" s="4">
        <f t="shared" si="16"/>
        <v>-21.186700000000002</v>
      </c>
      <c r="K77" s="4">
        <f t="shared" si="19"/>
        <v>-21.238500000000002</v>
      </c>
      <c r="L77" s="4">
        <f t="shared" si="17"/>
        <v>-20.879100000000001</v>
      </c>
      <c r="M77" s="4">
        <f t="shared" si="17"/>
        <v>-20.8796</v>
      </c>
      <c r="N77" s="4">
        <f t="shared" si="17"/>
        <v>-20.808400000000002</v>
      </c>
      <c r="P77" s="4">
        <f t="shared" si="18"/>
        <v>-20.959630000000001</v>
      </c>
      <c r="Q77" s="13"/>
      <c r="R77" s="7"/>
      <c r="S77" s="9">
        <v>355</v>
      </c>
      <c r="T77" s="5">
        <v>-359373</v>
      </c>
      <c r="U77" s="2">
        <v>72</v>
      </c>
      <c r="V77" s="10">
        <v>-203529</v>
      </c>
      <c r="W77" s="10">
        <v>-212840</v>
      </c>
      <c r="X77" s="10">
        <v>-206185</v>
      </c>
      <c r="Y77" s="10">
        <v>-212839</v>
      </c>
      <c r="Z77" s="10">
        <v>-210647</v>
      </c>
      <c r="AA77" s="10">
        <v>-211867</v>
      </c>
      <c r="AB77" s="10">
        <v>-212385</v>
      </c>
      <c r="AC77" s="10">
        <v>-208791</v>
      </c>
      <c r="AD77" s="10">
        <v>-208796</v>
      </c>
      <c r="AE77" s="10">
        <v>-208084</v>
      </c>
    </row>
    <row r="78" spans="4:31" x14ac:dyDescent="0.3">
      <c r="D78" s="2">
        <v>180</v>
      </c>
      <c r="E78" s="4">
        <f t="shared" si="11"/>
        <v>-20.3812</v>
      </c>
      <c r="F78" s="4">
        <f t="shared" si="12"/>
        <v>-20.983499999999999</v>
      </c>
      <c r="G78" s="4">
        <f t="shared" si="13"/>
        <v>-21.307500000000001</v>
      </c>
      <c r="H78" s="4">
        <f t="shared" si="14"/>
        <v>-21.026400000000002</v>
      </c>
      <c r="I78" s="4">
        <f t="shared" si="15"/>
        <v>-21.923000000000002</v>
      </c>
      <c r="J78" s="4">
        <f t="shared" si="16"/>
        <v>-22.0992</v>
      </c>
      <c r="K78" s="4">
        <f t="shared" si="19"/>
        <v>-20.746200000000002</v>
      </c>
      <c r="L78" s="4">
        <f t="shared" si="17"/>
        <v>-20.710900000000002</v>
      </c>
      <c r="M78" s="4">
        <f t="shared" si="17"/>
        <v>-21.816700000000001</v>
      </c>
      <c r="N78" s="4">
        <f t="shared" si="17"/>
        <v>-20.980499999999999</v>
      </c>
      <c r="P78" s="4">
        <f t="shared" si="18"/>
        <v>-21.197510000000001</v>
      </c>
      <c r="Q78" s="13"/>
      <c r="R78" s="7"/>
      <c r="S78" s="9">
        <v>360</v>
      </c>
      <c r="T78" s="5">
        <v>-364390</v>
      </c>
      <c r="U78" s="2">
        <v>73</v>
      </c>
      <c r="V78" s="10">
        <v>-203812</v>
      </c>
      <c r="W78" s="10">
        <v>-209835</v>
      </c>
      <c r="X78" s="10">
        <v>-213075</v>
      </c>
      <c r="Y78" s="10">
        <v>-210264</v>
      </c>
      <c r="Z78" s="10">
        <v>-219230</v>
      </c>
      <c r="AA78" s="10">
        <v>-220992</v>
      </c>
      <c r="AB78" s="10">
        <v>-207462</v>
      </c>
      <c r="AC78" s="10">
        <v>-207109</v>
      </c>
      <c r="AD78" s="10">
        <v>-218167</v>
      </c>
      <c r="AE78" s="10">
        <v>-209805</v>
      </c>
    </row>
    <row r="79" spans="4:31" x14ac:dyDescent="0.3">
      <c r="Q79" s="6"/>
      <c r="R79" s="7"/>
      <c r="T79" s="7"/>
      <c r="U79" s="7"/>
    </row>
    <row r="80" spans="4:31" x14ac:dyDescent="0.3">
      <c r="Q80" s="6"/>
      <c r="R80" s="7"/>
      <c r="T80" s="7"/>
      <c r="U80" s="7"/>
    </row>
  </sheetData>
  <mergeCells count="2">
    <mergeCell ref="E4:N4"/>
    <mergeCell ref="A3:R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Leme</dc:creator>
  <cp:lastModifiedBy>Mauro Leme</cp:lastModifiedBy>
  <dcterms:created xsi:type="dcterms:W3CDTF">2025-05-02T15:16:35Z</dcterms:created>
  <dcterms:modified xsi:type="dcterms:W3CDTF">2025-08-22T19:29:27Z</dcterms:modified>
</cp:coreProperties>
</file>